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BDUL_PC\Documents\"/>
    </mc:Choice>
  </mc:AlternateContent>
  <xr:revisionPtr revIDLastSave="0" documentId="13_ncr:1_{BEAA5BFA-E3B5-4485-8348-FCBBF2D38265}" xr6:coauthVersionLast="47" xr6:coauthVersionMax="47" xr10:uidLastSave="{00000000-0000-0000-0000-000000000000}"/>
  <workbookProtection lockStructure="1"/>
  <bookViews>
    <workbookView xWindow="-108" yWindow="-108" windowWidth="23256" windowHeight="12456" tabRatio="758" firstSheet="1" activeTab="3" xr2:uid="{79EB00AA-E363-4462-86A0-44CFA398920C}"/>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calcPr calcId="191029"/>
  <pivotCaches>
    <pivotCache cacheId="1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L3" i="1"/>
  <c r="L4" i="1"/>
  <c r="L5" i="1"/>
  <c r="L6" i="1"/>
  <c r="L7" i="1"/>
  <c r="L8" i="1"/>
  <c r="L9" i="1"/>
  <c r="L10" i="1"/>
  <c r="L11" i="1"/>
  <c r="L12" i="1"/>
  <c r="L13" i="1"/>
  <c r="L14" i="1"/>
  <c r="L15" i="1"/>
  <c r="L16" i="1"/>
  <c r="L17" i="1"/>
  <c r="M17" i="1" s="1"/>
  <c r="L18" i="1"/>
  <c r="M18" i="1" s="1"/>
  <c r="L19" i="1"/>
  <c r="L20" i="1"/>
  <c r="L21" i="1"/>
  <c r="L22" i="1"/>
  <c r="L23" i="1"/>
  <c r="L24" i="1"/>
  <c r="L25" i="1"/>
  <c r="L26" i="1"/>
  <c r="L27" i="1"/>
  <c r="L28" i="1"/>
  <c r="L29" i="1"/>
  <c r="L30" i="1"/>
  <c r="L31" i="1"/>
  <c r="L32" i="1"/>
  <c r="L33" i="1"/>
  <c r="M33" i="1" s="1"/>
  <c r="L34" i="1"/>
  <c r="M34" i="1" s="1"/>
  <c r="L35" i="1"/>
  <c r="L36" i="1"/>
  <c r="L37" i="1"/>
  <c r="L38" i="1"/>
  <c r="L39" i="1"/>
  <c r="L40" i="1"/>
  <c r="L41" i="1"/>
  <c r="L42" i="1"/>
  <c r="L43" i="1"/>
  <c r="L44" i="1"/>
  <c r="L45" i="1"/>
  <c r="L46" i="1"/>
  <c r="L47" i="1"/>
  <c r="L48" i="1"/>
  <c r="L49" i="1"/>
  <c r="M49" i="1" s="1"/>
  <c r="L50" i="1"/>
  <c r="M50" i="1" s="1"/>
  <c r="L51" i="1"/>
  <c r="M2" i="1"/>
  <c r="M3" i="1"/>
  <c r="M4" i="1"/>
  <c r="M5" i="1"/>
  <c r="M6" i="1"/>
  <c r="M7" i="1"/>
  <c r="M8" i="1"/>
  <c r="M9" i="1"/>
  <c r="M10" i="1"/>
  <c r="M11" i="1"/>
  <c r="M12" i="1"/>
  <c r="M13" i="1"/>
  <c r="M14" i="1"/>
  <c r="M15" i="1"/>
  <c r="M16" i="1"/>
  <c r="M19" i="1"/>
  <c r="M20" i="1"/>
  <c r="M21" i="1"/>
  <c r="M22" i="1"/>
  <c r="M23" i="1"/>
  <c r="M24" i="1"/>
  <c r="M25" i="1"/>
  <c r="M26" i="1"/>
  <c r="M27" i="1"/>
  <c r="M28" i="1"/>
  <c r="M29" i="1"/>
  <c r="M30" i="1"/>
  <c r="M31" i="1"/>
  <c r="M32" i="1"/>
  <c r="M35" i="1"/>
  <c r="M36" i="1"/>
  <c r="M37" i="1"/>
  <c r="M38" i="1"/>
  <c r="M39" i="1"/>
  <c r="M40" i="1"/>
  <c r="M41" i="1"/>
  <c r="M42" i="1"/>
  <c r="M43" i="1"/>
  <c r="M44" i="1"/>
  <c r="M45" i="1"/>
  <c r="M46" i="1"/>
  <c r="M47" i="1"/>
  <c r="M48" i="1"/>
  <c r="M5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alcChain>
</file>

<file path=xl/sharedStrings.xml><?xml version="1.0" encoding="utf-8"?>
<sst xmlns="http://schemas.openxmlformats.org/spreadsheetml/2006/main" count="687" uniqueCount="288">
  <si>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</si>
  <si>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</si>
  <si>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</si>
  <si>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</si>
  <si>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</si>
  <si>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</si>
  <si>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</si>
  <si>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</si>
  <si>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</si>
  <si>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</si>
  <si>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</si>
  <si>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</si>
  <si>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</si>
  <si>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</si>
  <si>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</si>
  <si>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</si>
  <si>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</si>
  <si>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</si>
  <si>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</si>
  <si>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</si>
  <si>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</si>
  <si>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</si>
  <si>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</si>
  <si>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</si>
  <si>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</si>
  <si>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</si>
  <si>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</si>
  <si>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</si>
  <si>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</si>
  <si>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</si>
  <si>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</si>
  <si>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</si>
  <si>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</si>
  <si>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</si>
  <si>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</si>
  <si>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</si>
  <si>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</si>
  <si>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</si>
  <si>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</si>
  <si>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</si>
  <si>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</si>
  <si>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</si>
  <si>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</si>
  <si>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</si>
  <si>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</si>
  <si>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</si>
  <si>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</si>
  <si>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</si>
  <si>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</si>
  <si>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</si>
  <si>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</si>
  <si>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</si>
  <si>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</si>
  <si>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</si>
  <si>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</si>
  <si>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</si>
  <si>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</si>
  <si>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</si>
  <si>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</si>
  <si>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</si>
  <si>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</si>
  <si>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</si>
  <si>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</si>
  <si>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</si>
  <si>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</si>
  <si>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</si>
  <si>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</si>
  <si>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</si>
  <si>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</si>
  <si>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</si>
  <si>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</si>
  <si>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</si>
  <si>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</si>
  <si>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</si>
  <si>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</si>
  <si>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</si>
  <si>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</si>
  <si>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</si>
  <si>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</si>
  <si>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</si>
  <si>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</si>
  <si>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</si>
  <si>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</si>
  <si>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</si>
  <si>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</si>
  <si>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</si>
  <si>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</si>
  <si>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</si>
  <si>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</si>
  <si>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</si>
  <si>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</si>
  <si>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</si>
  <si>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</si>
  <si>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</si>
  <si>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</si>
  <si>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</si>
  <si>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</si>
  <si>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</si>
  <si>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</si>
  <si>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</si>
  <si>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</si>
  <si>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</si>
  <si>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</si>
  <si>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</si>
  <si>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</si>
  <si>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</si>
  <si>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</si>
  <si>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</si>
  <si>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</si>
  <si>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</si>
  <si>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</si>
  <si>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</si>
  <si>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</si>
  <si>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</si>
  <si>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</si>
  <si>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</si>
  <si>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</si>
  <si>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</si>
  <si>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</si>
  <si>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</si>
  <si>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</si>
  <si>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</si>
  <si>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</si>
  <si>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</si>
  <si>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</si>
  <si>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</si>
  <si>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</si>
  <si>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</si>
  <si>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</si>
  <si>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</si>
  <si>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</si>
  <si>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</si>
  <si>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</si>
  <si>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</si>
  <si>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</si>
  <si>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</si>
  <si>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</si>
  <si>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</si>
  <si>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</si>
  <si>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</si>
  <si>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</si>
  <si>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</si>
  <si>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</si>
  <si>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</si>
  <si>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</si>
  <si>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</si>
  <si>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</si>
  <si>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</si>
  <si>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</si>
  <si>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</si>
  <si>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</si>
  <si>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</si>
  <si>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</si>
  <si>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</si>
  <si>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</si>
  <si>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</si>
  <si>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</si>
  <si>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</si>
  <si>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</si>
  <si>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</si>
  <si>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</si>
  <si>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</si>
  <si>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</si>
  <si>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</si>
  <si>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</si>
  <si>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</si>
  <si>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</si>
  <si>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</si>
  <si>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</si>
  <si>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</si>
  <si>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</si>
  <si>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</si>
  <si>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</si>
  <si>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</si>
  <si>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</si>
  <si>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</si>
  <si>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</si>
  <si>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</si>
  <si>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</si>
  <si>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</si>
  <si>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</si>
  <si>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</si>
  <si>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</si>
  <si>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</si>
  <si>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</si>
  <si>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</si>
  <si>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</si>
  <si>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</si>
  <si>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</si>
  <si>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</si>
  <si>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</si>
  <si>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</si>
  <si>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</si>
  <si>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</si>
  <si>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</si>
  <si>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</si>
  <si>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</si>
  <si>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</si>
  <si>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</si>
  <si>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</si>
  <si>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</si>
  <si>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</si>
  <si>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</si>
  <si>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</si>
  <si>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</si>
  <si>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</si>
  <si>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</si>
  <si>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</si>
  <si>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</si>
  <si>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</si>
  <si>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</si>
  <si>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</si>
  <si>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</si>
  <si>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</si>
  <si>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</si>
  <si>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</si>
  <si>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</si>
  <si>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</si>
  <si>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</si>
  <si>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</si>
  <si>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</si>
  <si>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</si>
  <si>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</si>
  <si>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</si>
  <si>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</si>
  <si>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</si>
  <si>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</si>
  <si>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</si>
  <si>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</si>
  <si>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</si>
  <si>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</si>
  <si>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</si>
  <si>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</si>
  <si>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</si>
  <si>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</si>
  <si>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</si>
  <si>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</si>
  <si>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</si>
  <si>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</si>
  <si>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</si>
  <si>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</si>
  <si>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</si>
  <si>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</si>
  <si>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</si>
  <si>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</si>
  <si>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</si>
  <si>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</si>
  <si>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</si>
  <si>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</si>
  <si>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</si>
  <si>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</si>
  <si>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</si>
  <si>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</si>
  <si>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</si>
  <si>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</si>
  <si>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</si>
  <si>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</si>
  <si>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</si>
  <si>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</si>
  <si>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</si>
  <si>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</si>
  <si>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</si>
  <si>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</si>
  <si>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</si>
  <si>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</si>
  <si>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</si>
  <si>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</si>
  <si>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</si>
  <si>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</si>
  <si>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</si>
  <si>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</si>
  <si>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</si>
  <si>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</si>
  <si>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</si>
  <si>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</si>
  <si>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</si>
  <si>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</si>
  <si>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</si>
  <si>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</si>
  <si>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</si>
  <si>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</si>
  <si>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</si>
  <si>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</si>
  <si>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Row Labels</t>
  </si>
  <si>
    <t>Gender</t>
  </si>
  <si>
    <t>Country Names</t>
  </si>
  <si>
    <t>(All)</t>
  </si>
  <si>
    <t>Count of Gender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</si>
</sst>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dd\ mmm\'\ yyyy"/>
    <numFmt numFmtId="167" formatCode="0\ &quot;kg&quot;"/>
    <numFmt numFmtId="168" formatCode="[&gt;=100000]\ 0.0,\ &quot;k&quot;\ ;\ 0.00,&quot;k&quot;"/>
  </numFmts>
  <fonts count="12"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s>
  <cellStyleXfs count="1">
    <xf numFmtId="0" fontId="0" fillId="0" borderId="0"/>
  </cellStyleXfs>
  <cellXfs count="53">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left"/>
    </xf>
    <xf numFmtId="0" fontId="1" fillId="2" borderId="2"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xf numFmtId="0" fontId="6" fillId="0" borderId="11" xfId="0" applyFont="1" applyBorder="1"/>
    <xf numFmtId="0" fontId="6" fillId="0" borderId="6" xfId="0" applyFont="1" applyBorder="1"/>
    <xf numFmtId="0" fontId="7" fillId="0" borderId="12" xfId="0" applyFont="1" applyBorder="1"/>
    <xf numFmtId="0" fontId="6" fillId="0" borderId="16" xfId="0" applyFont="1" applyBorder="1"/>
    <xf numFmtId="0" fontId="6" fillId="0" borderId="17" xfId="0" applyFont="1" applyBorder="1"/>
    <xf numFmtId="0" fontId="7" fillId="0" borderId="18" xfId="0" applyFont="1" applyBorder="1"/>
    <xf numFmtId="0" fontId="7" fillId="0" borderId="6" xfId="0" applyFont="1" applyBorder="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xf numFmtId="0" fontId="7" fillId="0" borderId="12" xfId="0" applyFont="1" applyBorder="1" applyAlignment="1">
      <alignment vertical="center" wrapText="1"/>
    </xf>
    <xf numFmtId="0" fontId="1" fillId="2" borderId="6" xfId="0" applyFont="1" applyFill="1" applyBorder="1"/>
    <xf numFmtId="0" fontId="0" fillId="0" borderId="6" xfId="0" applyBorder="1" applyAlignment="1">
      <alignment horizontal="left"/>
    </xf>
    <xf numFmtId="0" fontId="0" fillId="0" borderId="6" xfId="0" applyBorder="1"/>
    <xf numFmtId="49" fontId="0" fillId="0" borderId="1" xfId="0" applyNumberFormat="1" applyBorder="1" applyAlignment="1">
      <alignment horizontal="right"/>
    </xf>
    <xf numFmtId="165" fontId="0" fillId="0" borderId="1" xfId="0" applyNumberFormat="1" applyBorder="1"/>
    <xf numFmtId="166" fontId="0" fillId="0" borderId="1" xfId="0" applyNumberFormat="1" applyBorder="1" applyAlignment="1">
      <alignment horizontal="right"/>
    </xf>
    <xf numFmtId="167" fontId="0" fillId="0" borderId="1" xfId="0" applyNumberFormat="1" applyBorder="1"/>
    <xf numFmtId="0" fontId="0" fillId="0" borderId="0" xfId="0" pivotButton="1"/>
    <xf numFmtId="166" fontId="1" fillId="2" borderId="1" xfId="0" applyNumberFormat="1" applyFont="1" applyFill="1" applyBorder="1" applyAlignment="1">
      <alignment horizontal="left"/>
    </xf>
    <xf numFmtId="168" fontId="0" fillId="0" borderId="1" xfId="0" applyNumberFormat="1" applyBorder="1"/>
    <xf numFmtId="165" fontId="0" fillId="0" borderId="0" xfId="0" applyNumberFormat="1" applyAlignment="1">
      <alignment horizontal="left"/>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3" fillId="6" borderId="0" xfId="0" applyFont="1" applyFill="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[Abdul's Sports Analysis Case Study.xlsx]ANALYSIS!PivotTable1</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ANALYSIS!$G$3:$G$4</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ANALYSIS!$F$5:$F$15</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ANALYSIS!$G$5:$G$15</c:f>
              <c:numCache>
                <c:formatCode>General</c:formatCode>
                <c:ptCount val="11"/>
                <c:pt idx="0">
                  <c:v>1</c:v>
                </c:pt>
                <c:pt idx="1">
                  <c:v>6</c:v>
                </c:pt>
                <c:pt idx="2">
                  <c:v>1</c:v>
                </c:pt>
                <c:pt idx="4">
                  <c:v>3</c:v>
                </c:pt>
                <c:pt idx="5">
                  <c:v>1</c:v>
                </c:pt>
                <c:pt idx="6">
                  <c:v>2</c:v>
                </c:pt>
                <c:pt idx="7">
                  <c:v>3</c:v>
                </c:pt>
                <c:pt idx="8">
                  <c:v>1</c:v>
                </c:pt>
                <c:pt idx="9">
                  <c:v>3</c:v>
                </c:pt>
                <c:pt idx="10">
                  <c:v>4</c:v>
                </c:pt>
              </c:numCache>
            </c:numRef>
          </c:val>
          <c:extLst>
            <c:ext xmlns:c16="http://schemas.microsoft.com/office/drawing/2014/chart" uri="{C3380CC4-5D6E-409C-BE32-E72D297353CC}">
              <c16:uniqueId val="{00000000-8449-4F84-BCE9-A647A607DE6D}"/>
            </c:ext>
          </c:extLst>
        </c:ser>
        <c:ser>
          <c:idx val="1"/>
          <c:order val="1"/>
          <c:tx>
            <c:strRef>
              <c:f>ANALYSIS!$H$3:$H$4</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ANALYSIS!$F$5:$F$15</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ANALYSIS!$H$5:$H$15</c:f>
              <c:numCache>
                <c:formatCode>General</c:formatCode>
                <c:ptCount val="11"/>
                <c:pt idx="0">
                  <c:v>2</c:v>
                </c:pt>
                <c:pt idx="1">
                  <c:v>2</c:v>
                </c:pt>
                <c:pt idx="2">
                  <c:v>2</c:v>
                </c:pt>
                <c:pt idx="3">
                  <c:v>2</c:v>
                </c:pt>
                <c:pt idx="4">
                  <c:v>6</c:v>
                </c:pt>
                <c:pt idx="5">
                  <c:v>4</c:v>
                </c:pt>
                <c:pt idx="6">
                  <c:v>1</c:v>
                </c:pt>
                <c:pt idx="8">
                  <c:v>1</c:v>
                </c:pt>
                <c:pt idx="9">
                  <c:v>2</c:v>
                </c:pt>
                <c:pt idx="10">
                  <c:v>3</c:v>
                </c:pt>
              </c:numCache>
            </c:numRef>
          </c:val>
          <c:extLst>
            <c:ext xmlns:c16="http://schemas.microsoft.com/office/drawing/2014/chart" uri="{C3380CC4-5D6E-409C-BE32-E72D297353CC}">
              <c16:uniqueId val="{00000001-8449-4F84-BCE9-A647A607DE6D}"/>
            </c:ext>
          </c:extLst>
        </c:ser>
        <c:dLbls>
          <c:showLegendKey val="0"/>
          <c:showVal val="0"/>
          <c:showCatName val="0"/>
          <c:showSerName val="0"/>
          <c:showPercent val="0"/>
          <c:showBubbleSize val="0"/>
        </c:dLbls>
        <c:gapWidth val="100"/>
        <c:overlap val="-24"/>
        <c:axId val="1315524799"/>
        <c:axId val="1315523359"/>
      </c:barChart>
      <c:catAx>
        <c:axId val="1315524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5523359"/>
        <c:crosses val="autoZero"/>
        <c:auto val="1"/>
        <c:lblAlgn val="ctr"/>
        <c:lblOffset val="100"/>
        <c:noMultiLvlLbl val="0"/>
      </c:catAx>
      <c:valAx>
        <c:axId val="13155233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552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16</xdr:row>
      <xdr:rowOff>9300</xdr:rowOff>
    </xdr:from>
    <xdr:to>
      <xdr:col>10</xdr:col>
      <xdr:colOff>0</xdr:colOff>
      <xdr:row>31</xdr:row>
      <xdr:rowOff>38100</xdr:rowOff>
    </xdr:to>
    <xdr:graphicFrame macro="">
      <xdr:nvGraphicFramePr>
        <xdr:cNvPr id="2" name="Chart 1">
          <a:extLst>
            <a:ext uri="{FF2B5EF4-FFF2-40B4-BE49-F238E27FC236}">
              <a16:creationId xmlns:a16="http://schemas.microsoft.com/office/drawing/2014/main" id="{FB06B1ED-F442-B4E0-5B68-3E95D0596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_PC" refreshedDate="45900.432907754628" createdVersion="8" refreshedVersion="8" minRefreshableVersion="3" recordCount="50" xr:uid="{EF990A74-5E01-4A9F-B8A1-B7D0C18A82DF}">
  <cacheSource type="worksheet">
    <worksheetSource ref="A1:S51" sheet="SPORTSMEN"/>
  </cacheSource>
  <cacheFields count="22">
    <cacheField name="MEMBER ID" numFmtId="165">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 Annie Abbott"/>
        <s v="Ms. Aurelie Liesuchke"/>
        <s v="Sr. Tomas Filho"/>
        <s v="Ms. Darby Cruickshank"/>
        <s v="Dr. Jaydon Borer"/>
        <s v="Mr. Moriah  Lynch"/>
        <s v="Ms. Amiya Eichmann"/>
        <s v="Mr. Pierce Rau"/>
        <s v="Ms. Amelia Stevens"/>
        <s v="Mr. Toby Simpson"/>
        <s v="Sir Ethan Murphy"/>
        <s v="Mrs. Ashley Wood"/>
        <s v="Ms. Megan Scott"/>
        <s v="Hr. Helmut Weinhae"/>
        <s v="Prof. Milena Schotin"/>
        <s v="Hr. Lothar Birnbaum"/>
        <s v="Hr. Pietro Stolze"/>
        <s v="Hr. Richard  Tlustek"/>
        <s v="Dr. Earnestine Raynor"/>
        <s v="Mr. Jason Gaylord"/>
        <s v="Mr. Kendrick Sauer"/>
        <s v="Dr. Annabell Olson"/>
        <s v="Dr. Jena Upton"/>
        <s v="Dr. Shanny Bins"/>
        <s v="Dr. Tia Abshire"/>
        <s v="Ms. Isabel Runolfsdottir"/>
        <s v="Hr. Barney Wesack"/>
        <s v="Hr. Baruch Kade"/>
        <s v="Prof. Liesbeth Rosemann"/>
        <s v="Mme. Valentine Moreau"/>
        <s v="Mme. Paulette Durand"/>
        <s v="Mme. Laure-Alix Chevalier"/>
        <s v="M. Claude Toussaint"/>
        <s v="M. Victor Lenoir"/>
        <s v="M. Arthur Lenoir"/>
        <s v="M. Benjamin Lebrun-Brun"/>
        <s v="M. Antoine Maillard"/>
        <s v="M. Bernard Hoarau-Guyon"/>
        <s v="Sr. Hidalgo Tercero"/>
        <s v="Sr. Hadalgo Polanco"/>
        <s v="Sra. Laura Oliviera"/>
        <s v="Sra. Ainhoa Garza"/>
        <s v="Sra. Isabel Banda"/>
        <s v="Sra. Carolota Mateos"/>
        <s v="Mw. Elize Prins"/>
        <s v="dhr. Ryan Pham"/>
        <s v="Mw Elise Rotteveel"/>
        <s v="Fru. Mirjam Soderberg"/>
        <s v="H. Berndt Palsson"/>
        <s v="Sr. Adriano Sobrinho"/>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0">
      <sharedItems containsSemiMixedTypes="0" containsNonDate="0" containsDate="1" containsString="0" minDate="1955-07-30T00:00:00" maxDate="1999-08-29T00:00:00" count="50">
        <d v="1997-09-26T00:00:00"/>
        <d v="1992-02-07T00:00:00"/>
        <d v="1969-07-10T00:00:00"/>
        <d v="1975-05-18T00:00:00"/>
        <d v="1970-05-18T00:00:00"/>
        <d v="1992-12-06T00:00:00"/>
        <d v="1999-07-29T00:00:00"/>
        <d v="1963-05-10T00:00:00"/>
        <d v="1971-02-01T00:00:00"/>
        <d v="1964-12-21T00:00:00"/>
        <d v="1986-11-17T00:00:00"/>
        <d v="1977-10-14T00:00:00"/>
        <d v="1977-02-12T00:00:00"/>
        <d v="1959-08-26T00:00:00"/>
        <d v="1965-03-03T00:00:00"/>
        <d v="1969-07-21T00:00:00"/>
        <d v="1972-10-10T00:00:00"/>
        <d v="1959-08-31T00:00:00"/>
        <d v="1977-05-17T00:00:00"/>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d v="1960-05-08T00:00:00"/>
        <d v="1973-10-03T00:00:00"/>
        <d v="1968-04-08T00:00:00"/>
        <d v="1997-05-17T00:00:00"/>
        <d v="1987-02-24T00:00:00"/>
        <d v="1993-07-28T00:00:00"/>
      </sharedItems>
      <fieldGroup par="21"/>
    </cacheField>
    <cacheField name="ZODIAC" numFmtId="0">
      <sharedItems count="12">
        <s v="Libra"/>
        <s v="Aquarius"/>
        <s v="Cancer"/>
        <s v="Taurus"/>
        <s v="Sagittarius"/>
        <s v="Leo"/>
        <s v="Scorpio"/>
        <s v="Virgo"/>
        <s v="Pisces"/>
        <s v="Capricorn"/>
        <s v="Aries"/>
        <s v="Gemini"/>
      </sharedItems>
    </cacheField>
    <cacheField name="GENDER" numFmtId="0">
      <sharedItems count="2">
        <s v="Female"/>
        <s v="Male"/>
      </sharedItems>
    </cacheField>
    <cacheField name="COUNTRYCODE" numFmtId="0">
      <sharedItems/>
    </cacheField>
    <cacheField name="COUNTRY NAME" numFmtId="49">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unt="50">
        <s v="abbott.annie@xyz.org"/>
        <s v="liesuchke.aurelie@xyz.org"/>
        <s v="filho.tomas@xyz.com"/>
        <s v="cruickshank.darby@xyz.org"/>
        <s v="borer.jaydon@xyz.org"/>
        <s v="lynch.moriah @xyz.org"/>
        <s v="eichmann.amiya@xyz.org"/>
        <s v="rau.pierce@xyz.org"/>
        <s v="stevens.amelia@xyz.org"/>
        <s v="simpson.toby@xyz.org"/>
        <s v="murphy.ethan@xyz.org"/>
        <s v="wood.ashley@xyz.org"/>
        <s v="scott.megan@xyz.org"/>
        <s v="weinhae.helmut@xyz.com"/>
        <s v="schotin.milena@xyz.com"/>
        <s v="birnbaum.lothar@xyz.com"/>
        <s v="stolze.pietro@xyz.com"/>
        <s v="tlustek.richard @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WEIGHT" numFmtId="167">
      <sharedItems containsSemiMixedTypes="0" containsString="0" containsNumber="1" minValue="45.9" maxValue="105.9"/>
    </cacheField>
    <cacheField name="EYECOLOR" numFmtId="0">
      <sharedItems/>
    </cacheField>
    <cacheField name="BLOODTYPE" numFmtId="0">
      <sharedItems/>
    </cacheField>
    <cacheField name="SPORT LOCATION" numFmtId="0">
      <sharedItems count="2">
        <s v="INDOOR"/>
        <s v="OUTDOOR"/>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0">
      <sharedItems containsSemiMixedTypes="0" containsString="0" containsNumber="1" containsInteger="1" minValue="10241" maxValue="117408"/>
    </cacheField>
    <cacheField name="Months (BIRTHDATE)" numFmtId="0" databaseField="0">
      <fieldGroup base="6">
        <rangePr groupBy="months" startDate="1955-07-30T00:00:00" endDate="1999-08-29T00:00:00"/>
        <groupItems count="14">
          <s v="&lt;30-07-1955"/>
          <s v="Jan"/>
          <s v="Feb"/>
          <s v="Mar"/>
          <s v="Apr"/>
          <s v="May"/>
          <s v="Jun"/>
          <s v="Jul"/>
          <s v="Aug"/>
          <s v="Sep"/>
          <s v="Oct"/>
          <s v="Nov"/>
          <s v="Dec"/>
          <s v="&gt;29-08-1999"/>
        </groupItems>
      </fieldGroup>
    </cacheField>
    <cacheField name="Quarters (BIRTHDATE)" numFmtId="0" databaseField="0">
      <fieldGroup base="6">
        <rangePr groupBy="quarters" startDate="1955-07-30T00:00:00" endDate="1999-08-29T00:00:00"/>
        <groupItems count="6">
          <s v="&lt;30-07-1955"/>
          <s v="Qtr1"/>
          <s v="Qtr2"/>
          <s v="Qtr3"/>
          <s v="Qtr4"/>
          <s v="&gt;29-08-1999"/>
        </groupItems>
      </fieldGroup>
    </cacheField>
    <cacheField name="Years (BIRTHDATE)" numFmtId="0" databaseField="0">
      <fieldGroup base="6">
        <rangePr groupBy="years" startDate="1955-07-30T00:00:00" endDate="1999-08-29T00:00:00"/>
        <groupItems count="47">
          <s v="&lt;30-07-1955"/>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gt;29-08-199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s."/>
    <s v="Annie"/>
    <m/>
    <s v="Abbott"/>
    <x v="0"/>
    <x v="0"/>
    <x v="0"/>
    <s v="US"/>
    <x v="0"/>
    <x v="0"/>
    <x v="0"/>
    <n v="94"/>
    <s v="Green"/>
    <s v="A−"/>
    <x v="0"/>
    <x v="0"/>
    <n v="80727"/>
  </r>
  <r>
    <x v="1"/>
    <x v="1"/>
    <s v="Ms."/>
    <s v="Aurelie"/>
    <m/>
    <s v="Liesuchke"/>
    <x v="1"/>
    <x v="1"/>
    <x v="0"/>
    <s v="US"/>
    <x v="0"/>
    <x v="0"/>
    <x v="1"/>
    <n v="84.2"/>
    <s v="Brown"/>
    <s v="O−"/>
    <x v="0"/>
    <x v="1"/>
    <n v="87471"/>
  </r>
  <r>
    <x v="2"/>
    <x v="2"/>
    <s v="Sr."/>
    <s v="Tomas"/>
    <s v="Ferreira"/>
    <s v="Filho"/>
    <x v="2"/>
    <x v="2"/>
    <x v="1"/>
    <s v="BR"/>
    <x v="1"/>
    <x v="1"/>
    <x v="2"/>
    <n v="52.9"/>
    <s v="Amber"/>
    <s v="A−"/>
    <x v="1"/>
    <x v="2"/>
    <n v="64724"/>
  </r>
  <r>
    <x v="3"/>
    <x v="3"/>
    <s v="Ms."/>
    <s v="Darby"/>
    <m/>
    <s v="Cruickshank"/>
    <x v="3"/>
    <x v="3"/>
    <x v="0"/>
    <s v="US"/>
    <x v="0"/>
    <x v="0"/>
    <x v="3"/>
    <n v="48.9"/>
    <s v="Green"/>
    <s v="O−"/>
    <x v="1"/>
    <x v="3"/>
    <n v="110823"/>
  </r>
  <r>
    <x v="4"/>
    <x v="4"/>
    <s v="Dr."/>
    <s v="Jaydon"/>
    <m/>
    <s v="Borer"/>
    <x v="4"/>
    <x v="3"/>
    <x v="1"/>
    <s v="US"/>
    <x v="0"/>
    <x v="0"/>
    <x v="4"/>
    <n v="84.8"/>
    <s v="Blue"/>
    <s v="B−"/>
    <x v="0"/>
    <x v="4"/>
    <n v="56916"/>
  </r>
  <r>
    <x v="5"/>
    <x v="5"/>
    <s v="Mr."/>
    <s v="Moriah "/>
    <m/>
    <s v="Lynch"/>
    <x v="5"/>
    <x v="4"/>
    <x v="1"/>
    <s v="US"/>
    <x v="0"/>
    <x v="0"/>
    <x v="5"/>
    <n v="83.2"/>
    <s v="Blue"/>
    <s v="O−"/>
    <x v="0"/>
    <x v="5"/>
    <n v="51133"/>
  </r>
  <r>
    <x v="6"/>
    <x v="6"/>
    <s v="Ms."/>
    <s v="Amiya"/>
    <m/>
    <s v="Eichmann"/>
    <x v="6"/>
    <x v="5"/>
    <x v="0"/>
    <s v="US"/>
    <x v="0"/>
    <x v="0"/>
    <x v="6"/>
    <n v="61.1"/>
    <s v="Blue"/>
    <s v="B−"/>
    <x v="1"/>
    <x v="6"/>
    <n v="65465"/>
  </r>
  <r>
    <x v="7"/>
    <x v="7"/>
    <s v="Mr."/>
    <s v="Pierce"/>
    <m/>
    <s v="Rau"/>
    <x v="7"/>
    <x v="3"/>
    <x v="1"/>
    <s v="US"/>
    <x v="0"/>
    <x v="0"/>
    <x v="7"/>
    <n v="105.7"/>
    <s v="Amber"/>
    <s v="A+"/>
    <x v="0"/>
    <x v="7"/>
    <n v="109885"/>
  </r>
  <r>
    <x v="8"/>
    <x v="8"/>
    <s v="Ms."/>
    <s v="Amelia"/>
    <m/>
    <s v="Stevens"/>
    <x v="8"/>
    <x v="1"/>
    <x v="0"/>
    <s v="GB"/>
    <x v="2"/>
    <x v="0"/>
    <x v="8"/>
    <n v="65.3"/>
    <s v="Blue"/>
    <s v="A+"/>
    <x v="0"/>
    <x v="8"/>
    <n v="60061"/>
  </r>
  <r>
    <x v="9"/>
    <x v="9"/>
    <s v="Mr."/>
    <s v="Toby"/>
    <m/>
    <s v="Simpson"/>
    <x v="9"/>
    <x v="4"/>
    <x v="1"/>
    <s v="GB"/>
    <x v="2"/>
    <x v="0"/>
    <x v="9"/>
    <n v="62.9"/>
    <s v="Amber"/>
    <s v="O+"/>
    <x v="1"/>
    <x v="6"/>
    <n v="32758"/>
  </r>
  <r>
    <x v="10"/>
    <x v="10"/>
    <s v="Sir"/>
    <s v="Ethan"/>
    <m/>
    <s v="Murphy"/>
    <x v="10"/>
    <x v="6"/>
    <x v="1"/>
    <s v="GB"/>
    <x v="2"/>
    <x v="0"/>
    <x v="10"/>
    <n v="104.3"/>
    <s v="Brown"/>
    <s v="O+"/>
    <x v="1"/>
    <x v="9"/>
    <n v="99613"/>
  </r>
  <r>
    <x v="11"/>
    <x v="11"/>
    <s v="Mrs."/>
    <s v="Ashley"/>
    <m/>
    <s v="Wood"/>
    <x v="11"/>
    <x v="0"/>
    <x v="0"/>
    <s v="GB"/>
    <x v="2"/>
    <x v="0"/>
    <x v="11"/>
    <n v="100.7"/>
    <s v="Brown"/>
    <s v="O+"/>
    <x v="1"/>
    <x v="10"/>
    <n v="56595"/>
  </r>
  <r>
    <x v="12"/>
    <x v="12"/>
    <s v="Ms."/>
    <s v="Megan"/>
    <m/>
    <s v="Scott"/>
    <x v="12"/>
    <x v="1"/>
    <x v="0"/>
    <s v="GB"/>
    <x v="2"/>
    <x v="0"/>
    <x v="12"/>
    <n v="70.900000000000006"/>
    <s v="Green"/>
    <s v="A−"/>
    <x v="1"/>
    <x v="11"/>
    <n v="117408"/>
  </r>
  <r>
    <x v="13"/>
    <x v="13"/>
    <s v="Hr."/>
    <s v="Helmut"/>
    <m/>
    <s v="Weinhae"/>
    <x v="13"/>
    <x v="7"/>
    <x v="1"/>
    <s v="DE"/>
    <x v="3"/>
    <x v="2"/>
    <x v="13"/>
    <n v="68.3"/>
    <s v="Gray"/>
    <s v="A+"/>
    <x v="1"/>
    <x v="12"/>
    <n v="64862"/>
  </r>
  <r>
    <x v="14"/>
    <x v="14"/>
    <s v="Prof."/>
    <s v="Milena"/>
    <m/>
    <s v="Schotin"/>
    <x v="14"/>
    <x v="8"/>
    <x v="0"/>
    <s v="DE"/>
    <x v="3"/>
    <x v="2"/>
    <x v="14"/>
    <n v="105.3"/>
    <s v="Gray"/>
    <s v="O+"/>
    <x v="0"/>
    <x v="13"/>
    <n v="10241"/>
  </r>
  <r>
    <x v="15"/>
    <x v="15"/>
    <s v="Hr."/>
    <s v="Lothar"/>
    <m/>
    <s v="Birnbaum"/>
    <x v="15"/>
    <x v="2"/>
    <x v="1"/>
    <s v="DE"/>
    <x v="3"/>
    <x v="2"/>
    <x v="15"/>
    <n v="48.6"/>
    <s v="Blue"/>
    <s v="O+"/>
    <x v="1"/>
    <x v="3"/>
    <n v="88762"/>
  </r>
  <r>
    <x v="16"/>
    <x v="16"/>
    <s v="Hr."/>
    <s v="Pietro"/>
    <m/>
    <s v="Stolze"/>
    <x v="16"/>
    <x v="0"/>
    <x v="1"/>
    <s v="DE"/>
    <x v="3"/>
    <x v="2"/>
    <x v="16"/>
    <n v="105.9"/>
    <s v="Blue"/>
    <s v="A−"/>
    <x v="0"/>
    <x v="14"/>
    <n v="80757"/>
  </r>
  <r>
    <x v="17"/>
    <x v="17"/>
    <s v="Hr."/>
    <s v="Richard "/>
    <m/>
    <s v="Tlustek"/>
    <x v="17"/>
    <x v="7"/>
    <x v="1"/>
    <s v="DE"/>
    <x v="3"/>
    <x v="2"/>
    <x v="17"/>
    <n v="71.099999999999994"/>
    <s v="Blue"/>
    <s v="A−"/>
    <x v="1"/>
    <x v="15"/>
    <n v="88794"/>
  </r>
  <r>
    <x v="18"/>
    <x v="18"/>
    <s v="Dr."/>
    <s v="Earnestine"/>
    <m/>
    <s v="Raynor"/>
    <x v="18"/>
    <x v="3"/>
    <x v="0"/>
    <s v="OZ"/>
    <x v="4"/>
    <x v="0"/>
    <x v="18"/>
    <n v="70.3"/>
    <s v="Blue"/>
    <s v="A+"/>
    <x v="0"/>
    <x v="16"/>
    <n v="63526"/>
  </r>
  <r>
    <x v="19"/>
    <x v="19"/>
    <s v="Mr."/>
    <s v="Jason"/>
    <m/>
    <s v="Gaylord"/>
    <x v="19"/>
    <x v="9"/>
    <x v="1"/>
    <s v="OZ"/>
    <x v="4"/>
    <x v="0"/>
    <x v="19"/>
    <n v="54.7"/>
    <s v="Brown"/>
    <s v="O−"/>
    <x v="0"/>
    <x v="17"/>
    <n v="46352"/>
  </r>
  <r>
    <x v="20"/>
    <x v="20"/>
    <s v="Mr."/>
    <s v="Kendrick"/>
    <m/>
    <s v="Sauer"/>
    <x v="20"/>
    <x v="2"/>
    <x v="1"/>
    <s v="OZ"/>
    <x v="4"/>
    <x v="0"/>
    <x v="20"/>
    <n v="100.9"/>
    <s v="Blue"/>
    <s v="B−"/>
    <x v="1"/>
    <x v="18"/>
    <n v="106808"/>
  </r>
  <r>
    <x v="21"/>
    <x v="21"/>
    <s v="Dr."/>
    <s v="Annabell"/>
    <m/>
    <s v="Olson"/>
    <x v="21"/>
    <x v="10"/>
    <x v="0"/>
    <s v="OZ"/>
    <x v="4"/>
    <x v="0"/>
    <x v="21"/>
    <n v="84.3"/>
    <s v="Green"/>
    <s v="A+"/>
    <x v="1"/>
    <x v="19"/>
    <n v="96468"/>
  </r>
  <r>
    <x v="22"/>
    <x v="22"/>
    <s v="Dr."/>
    <s v="Jena"/>
    <m/>
    <s v="Upton"/>
    <x v="22"/>
    <x v="4"/>
    <x v="0"/>
    <s v="OZ"/>
    <x v="4"/>
    <x v="0"/>
    <x v="22"/>
    <n v="66.8"/>
    <s v="Blue"/>
    <s v="O+"/>
    <x v="1"/>
    <x v="20"/>
    <n v="16526"/>
  </r>
  <r>
    <x v="23"/>
    <x v="23"/>
    <s v="Dr."/>
    <s v="Shanny"/>
    <m/>
    <s v="Bins"/>
    <x v="23"/>
    <x v="7"/>
    <x v="0"/>
    <s v="OZ"/>
    <x v="4"/>
    <x v="0"/>
    <x v="23"/>
    <n v="59.4"/>
    <s v="Amber"/>
    <s v="B−"/>
    <x v="1"/>
    <x v="21"/>
    <n v="21891"/>
  </r>
  <r>
    <x v="24"/>
    <x v="24"/>
    <s v="Dr."/>
    <s v="Tia"/>
    <m/>
    <s v="Abshire"/>
    <x v="24"/>
    <x v="2"/>
    <x v="0"/>
    <s v="OZ"/>
    <x v="4"/>
    <x v="0"/>
    <x v="24"/>
    <n v="77.8"/>
    <s v="Amber"/>
    <s v="A+"/>
    <x v="1"/>
    <x v="6"/>
    <n v="62037"/>
  </r>
  <r>
    <x v="25"/>
    <x v="25"/>
    <s v="Ms."/>
    <s v="Isabel"/>
    <m/>
    <s v="Runolfsdottir"/>
    <x v="25"/>
    <x v="10"/>
    <x v="0"/>
    <s v="OZ"/>
    <x v="4"/>
    <x v="0"/>
    <x v="25"/>
    <n v="85.9"/>
    <s v="Blue"/>
    <s v="B+"/>
    <x v="0"/>
    <x v="0"/>
    <n v="89737"/>
  </r>
  <r>
    <x v="26"/>
    <x v="26"/>
    <s v="Hr."/>
    <s v="Barney"/>
    <m/>
    <s v="Wesack"/>
    <x v="26"/>
    <x v="2"/>
    <x v="1"/>
    <s v="AU"/>
    <x v="5"/>
    <x v="2"/>
    <x v="26"/>
    <n v="93.4"/>
    <s v="Amber"/>
    <s v="B+"/>
    <x v="0"/>
    <x v="22"/>
    <n v="41039"/>
  </r>
  <r>
    <x v="27"/>
    <x v="27"/>
    <s v="Hr."/>
    <s v="Baruch"/>
    <m/>
    <s v="Kade"/>
    <x v="27"/>
    <x v="8"/>
    <x v="1"/>
    <s v="AU"/>
    <x v="5"/>
    <x v="2"/>
    <x v="27"/>
    <n v="95.5"/>
    <s v="Gray"/>
    <s v="O−"/>
    <x v="1"/>
    <x v="11"/>
    <n v="28458"/>
  </r>
  <r>
    <x v="28"/>
    <x v="28"/>
    <s v="Prof."/>
    <s v="Liesbeth"/>
    <m/>
    <s v="Rosemann"/>
    <x v="28"/>
    <x v="1"/>
    <x v="0"/>
    <s v="AU"/>
    <x v="5"/>
    <x v="2"/>
    <x v="28"/>
    <n v="52.2"/>
    <s v="Blue"/>
    <s v="O+"/>
    <x v="1"/>
    <x v="6"/>
    <n v="55007"/>
  </r>
  <r>
    <x v="29"/>
    <x v="29"/>
    <s v="Mme."/>
    <s v="Valentine"/>
    <m/>
    <s v="Moreau"/>
    <x v="29"/>
    <x v="0"/>
    <x v="0"/>
    <s v="FR"/>
    <x v="6"/>
    <x v="3"/>
    <x v="29"/>
    <n v="74.599999999999994"/>
    <s v="Blue"/>
    <s v="B+"/>
    <x v="1"/>
    <x v="23"/>
    <n v="69041"/>
  </r>
  <r>
    <x v="30"/>
    <x v="30"/>
    <s v="Mme."/>
    <s v="Paulette"/>
    <m/>
    <s v="Durand"/>
    <x v="30"/>
    <x v="9"/>
    <x v="0"/>
    <s v="FR"/>
    <x v="6"/>
    <x v="3"/>
    <x v="30"/>
    <n v="81.7"/>
    <s v="Amber"/>
    <s v="O−"/>
    <x v="0"/>
    <x v="22"/>
    <n v="86262"/>
  </r>
  <r>
    <x v="31"/>
    <x v="31"/>
    <s v="Mme."/>
    <s v="Laure-Alix"/>
    <m/>
    <s v="Chevalier"/>
    <x v="31"/>
    <x v="9"/>
    <x v="0"/>
    <s v="FR"/>
    <x v="6"/>
    <x v="3"/>
    <x v="31"/>
    <n v="78.099999999999994"/>
    <s v="Blue"/>
    <s v="O+"/>
    <x v="1"/>
    <x v="20"/>
    <n v="19234"/>
  </r>
  <r>
    <x v="32"/>
    <x v="32"/>
    <s v="M."/>
    <s v="Claude"/>
    <m/>
    <s v="Toussaint"/>
    <x v="32"/>
    <x v="6"/>
    <x v="1"/>
    <s v="FR"/>
    <x v="6"/>
    <x v="3"/>
    <x v="32"/>
    <n v="57.1"/>
    <s v="Green"/>
    <s v="O+"/>
    <x v="0"/>
    <x v="24"/>
    <n v="95123"/>
  </r>
  <r>
    <x v="33"/>
    <x v="33"/>
    <s v="M."/>
    <s v="Victor"/>
    <m/>
    <s v="Lenoir"/>
    <x v="33"/>
    <x v="0"/>
    <x v="1"/>
    <s v="FR"/>
    <x v="6"/>
    <x v="3"/>
    <x v="33"/>
    <n v="56"/>
    <s v="Blue"/>
    <s v="B+"/>
    <x v="1"/>
    <x v="18"/>
    <n v="62761"/>
  </r>
  <r>
    <x v="34"/>
    <x v="34"/>
    <s v="M."/>
    <s v="Arthur"/>
    <m/>
    <s v="Lenoir"/>
    <x v="34"/>
    <x v="5"/>
    <x v="1"/>
    <s v="FR"/>
    <x v="6"/>
    <x v="3"/>
    <x v="34"/>
    <n v="88.6"/>
    <s v="Amber"/>
    <s v="O+"/>
    <x v="1"/>
    <x v="25"/>
    <n v="108431"/>
  </r>
  <r>
    <x v="35"/>
    <x v="35"/>
    <s v="M."/>
    <s v="Benjamin"/>
    <m/>
    <s v="Lebrun-Brun"/>
    <x v="35"/>
    <x v="1"/>
    <x v="1"/>
    <s v="FR"/>
    <x v="6"/>
    <x v="3"/>
    <x v="35"/>
    <n v="78.2"/>
    <s v="Brown"/>
    <s v="O−"/>
    <x v="1"/>
    <x v="18"/>
    <n v="66268"/>
  </r>
  <r>
    <x v="36"/>
    <x v="36"/>
    <s v="M."/>
    <s v="Antoine"/>
    <m/>
    <s v="Maillard"/>
    <x v="36"/>
    <x v="2"/>
    <x v="1"/>
    <s v="FR"/>
    <x v="6"/>
    <x v="3"/>
    <x v="36"/>
    <n v="95.8"/>
    <s v="Blue"/>
    <s v="B−"/>
    <x v="1"/>
    <x v="26"/>
    <n v="33970"/>
  </r>
  <r>
    <x v="37"/>
    <x v="37"/>
    <s v="M."/>
    <s v="Bernard"/>
    <m/>
    <s v="Hoarau-Guyon"/>
    <x v="37"/>
    <x v="9"/>
    <x v="1"/>
    <s v="FR"/>
    <x v="6"/>
    <x v="3"/>
    <x v="37"/>
    <n v="59.7"/>
    <s v="Gray"/>
    <s v="O−"/>
    <x v="0"/>
    <x v="0"/>
    <n v="71352"/>
  </r>
  <r>
    <x v="38"/>
    <x v="38"/>
    <s v="Sr."/>
    <s v="Hidalgo"/>
    <s v="Cantu"/>
    <s v="Tercero"/>
    <x v="38"/>
    <x v="4"/>
    <x v="1"/>
    <s v="AG"/>
    <x v="7"/>
    <x v="4"/>
    <x v="38"/>
    <n v="77.7"/>
    <s v="Gray"/>
    <s v="B−"/>
    <x v="1"/>
    <x v="21"/>
    <n v="116376"/>
  </r>
  <r>
    <x v="39"/>
    <x v="39"/>
    <s v="Sr."/>
    <s v="Hadalgo"/>
    <m/>
    <s v="Polanco"/>
    <x v="39"/>
    <x v="11"/>
    <x v="1"/>
    <s v="AG"/>
    <x v="7"/>
    <x v="4"/>
    <x v="39"/>
    <n v="98"/>
    <s v="Blue"/>
    <s v="A−"/>
    <x v="1"/>
    <x v="20"/>
    <n v="114144"/>
  </r>
  <r>
    <x v="40"/>
    <x v="40"/>
    <s v="Sra."/>
    <s v="Laura"/>
    <m/>
    <s v="Oliviera"/>
    <x v="40"/>
    <x v="1"/>
    <x v="0"/>
    <s v="AG"/>
    <x v="7"/>
    <x v="4"/>
    <x v="40"/>
    <n v="51.9"/>
    <s v="Amber"/>
    <s v="O−"/>
    <x v="1"/>
    <x v="27"/>
    <n v="79872"/>
  </r>
  <r>
    <x v="41"/>
    <x v="41"/>
    <s v="Sra."/>
    <s v="Ainhoa"/>
    <m/>
    <s v="Garza"/>
    <x v="41"/>
    <x v="8"/>
    <x v="0"/>
    <s v="ES"/>
    <x v="8"/>
    <x v="4"/>
    <x v="41"/>
    <n v="55.6"/>
    <s v="Brown"/>
    <s v="O+"/>
    <x v="0"/>
    <x v="28"/>
    <n v="101969"/>
  </r>
  <r>
    <x v="42"/>
    <x v="42"/>
    <s v="Sra."/>
    <s v="Isabel"/>
    <m/>
    <s v="Banda"/>
    <x v="42"/>
    <x v="9"/>
    <x v="0"/>
    <s v="ES"/>
    <x v="8"/>
    <x v="4"/>
    <x v="42"/>
    <n v="102.3"/>
    <s v="Amber"/>
    <s v="O+"/>
    <x v="1"/>
    <x v="21"/>
    <n v="50659"/>
  </r>
  <r>
    <x v="43"/>
    <x v="43"/>
    <s v="Sra."/>
    <s v="Carolota"/>
    <m/>
    <s v="Mateos"/>
    <x v="43"/>
    <x v="5"/>
    <x v="0"/>
    <s v="ES"/>
    <x v="8"/>
    <x v="4"/>
    <x v="43"/>
    <n v="58.8"/>
    <s v="Gray"/>
    <s v="O−"/>
    <x v="1"/>
    <x v="27"/>
    <n v="58215"/>
  </r>
  <r>
    <x v="44"/>
    <x v="44"/>
    <s v="Mw."/>
    <s v="Elize"/>
    <m/>
    <s v="Prins"/>
    <x v="44"/>
    <x v="3"/>
    <x v="0"/>
    <s v="DU"/>
    <x v="9"/>
    <x v="5"/>
    <x v="44"/>
    <n v="63.8"/>
    <s v="Blue"/>
    <s v="O+"/>
    <x v="0"/>
    <x v="29"/>
    <n v="39935"/>
  </r>
  <r>
    <x v="45"/>
    <x v="45"/>
    <s v="dhr."/>
    <s v="Ryan"/>
    <m/>
    <s v="Pham"/>
    <x v="45"/>
    <x v="0"/>
    <x v="1"/>
    <s v="DU"/>
    <x v="9"/>
    <x v="5"/>
    <x v="45"/>
    <n v="98.6"/>
    <s v="Amber"/>
    <s v="B+"/>
    <x v="1"/>
    <x v="20"/>
    <n v="44865"/>
  </r>
  <r>
    <x v="46"/>
    <x v="46"/>
    <s v="Mw"/>
    <s v="Elise"/>
    <m/>
    <s v="Rotteveel"/>
    <x v="46"/>
    <x v="10"/>
    <x v="0"/>
    <s v="DU"/>
    <x v="9"/>
    <x v="5"/>
    <x v="46"/>
    <n v="61.8"/>
    <s v="Gray"/>
    <s v="O−"/>
    <x v="1"/>
    <x v="20"/>
    <n v="90478"/>
  </r>
  <r>
    <x v="47"/>
    <x v="47"/>
    <s v="Fru."/>
    <s v="Mirjam"/>
    <m/>
    <s v="Soderberg"/>
    <x v="47"/>
    <x v="3"/>
    <x v="0"/>
    <s v="SV"/>
    <x v="10"/>
    <x v="6"/>
    <x v="47"/>
    <n v="50"/>
    <s v="Amber"/>
    <s v="O+"/>
    <x v="1"/>
    <x v="2"/>
    <n v="38965"/>
  </r>
  <r>
    <x v="48"/>
    <x v="48"/>
    <s v="H."/>
    <s v="Berndt"/>
    <m/>
    <s v="Palsson"/>
    <x v="48"/>
    <x v="8"/>
    <x v="1"/>
    <s v="SV"/>
    <x v="10"/>
    <x v="6"/>
    <x v="48"/>
    <n v="45.9"/>
    <s v="Blue"/>
    <s v="A−"/>
    <x v="1"/>
    <x v="30"/>
    <n v="35387"/>
  </r>
  <r>
    <x v="49"/>
    <x v="49"/>
    <s v="Sr."/>
    <s v="Adriano"/>
    <s v="Pontes"/>
    <s v="Sobrinho"/>
    <x v="49"/>
    <x v="5"/>
    <x v="1"/>
    <s v="PR"/>
    <x v="1"/>
    <x v="1"/>
    <x v="49"/>
    <n v="92.5"/>
    <s v="Green"/>
    <s v="A+"/>
    <x v="0"/>
    <x v="31"/>
    <n v="20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1DBCC3-397B-4AB6-9C40-9C04BD5CAB5C}" name="PivotTable1" cacheId="10" applyNumberFormats="0" applyBorderFormats="0" applyFontFormats="0" applyPatternFormats="0" applyAlignmentFormats="0" applyWidthHeightFormats="1" dataCaption="Values" updatedVersion="8" minRefreshableVersion="3" useAutoFormatting="1" rowGrandTotals="0" colGrandTotals="0" itemPrintTitles="1" mergeItem="1" createdVersion="8" indent="0" outline="1" outlineData="1" multipleFieldFilters="0" chartFormat="15" rowHeaderCaption="Country Names" colHeaderCaption="Gender">
  <location ref="F3:H15" firstHeaderRow="1" firstDataRow="2" firstDataCol="1"/>
  <pivotFields count="22">
    <pivotField numFmtId="165" showAll="0"/>
    <pivotField showAll="0"/>
    <pivotField showAll="0"/>
    <pivotField showAll="0"/>
    <pivotField showAll="0"/>
    <pivotField showAll="0"/>
    <pivotField showAll="0">
      <items count="51">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 t="default"/>
      </items>
    </pivotField>
    <pivotField showAll="0"/>
    <pivotField axis="axisCol" dataField="1"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7" showAll="0"/>
    <pivotField showAll="0"/>
    <pivotField showAll="0"/>
    <pivotField showAll="0"/>
    <pivotField showAll="0"/>
    <pivotField showAll="0"/>
    <pivotField showAll="0" defaultSubtotal="0"/>
    <pivotField showAll="0" defaultSubtotal="0"/>
    <pivotField showAll="0" defaultSubtota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s>
  <rowFields count="1">
    <field x="10"/>
  </rowFields>
  <rowItems count="11">
    <i>
      <x/>
    </i>
    <i>
      <x v="1"/>
    </i>
    <i>
      <x v="2"/>
    </i>
    <i>
      <x v="3"/>
    </i>
    <i>
      <x v="4"/>
    </i>
    <i>
      <x v="5"/>
    </i>
    <i>
      <x v="6"/>
    </i>
    <i>
      <x v="7"/>
    </i>
    <i>
      <x v="8"/>
    </i>
    <i>
      <x v="9"/>
    </i>
    <i>
      <x v="10"/>
    </i>
  </rowItems>
  <colFields count="1">
    <field x="8"/>
  </colFields>
  <colItems count="2">
    <i>
      <x/>
    </i>
    <i>
      <x v="1"/>
    </i>
  </colItems>
  <dataFields count="1">
    <dataField name="Count of Gender by Country" fld="8" subtotal="count" baseField="0" baseItem="0"/>
  </dataFields>
  <chartFormats count="13">
    <chartFormat chart="6" format="0" series="1">
      <pivotArea type="data" outline="0" fieldPosition="0">
        <references count="2">
          <reference field="4294967294" count="1" selected="0">
            <x v="0"/>
          </reference>
          <reference field="8" count="1" selected="0">
            <x v="0"/>
          </reference>
        </references>
      </pivotArea>
    </chartFormat>
    <chartFormat chart="6" format="1" series="1">
      <pivotArea type="data" outline="0" fieldPosition="0">
        <references count="2">
          <reference field="4294967294" count="1" selected="0">
            <x v="0"/>
          </reference>
          <reference field="8" count="1" selected="0">
            <x v="1"/>
          </reference>
        </references>
      </pivotArea>
    </chartFormat>
    <chartFormat chart="6" format="2" series="1">
      <pivotArea type="data" outline="0" fieldPosition="0">
        <references count="2">
          <reference field="4294967294" count="1" selected="0">
            <x v="0"/>
          </reference>
          <reference field="10" count="1" selected="0">
            <x v="2"/>
          </reference>
        </references>
      </pivotArea>
    </chartFormat>
    <chartFormat chart="6" format="3" series="1">
      <pivotArea type="data" outline="0" fieldPosition="0">
        <references count="2">
          <reference field="4294967294" count="1" selected="0">
            <x v="0"/>
          </reference>
          <reference field="10" count="1" selected="0">
            <x v="3"/>
          </reference>
        </references>
      </pivotArea>
    </chartFormat>
    <chartFormat chart="6" format="4" series="1">
      <pivotArea type="data" outline="0" fieldPosition="0">
        <references count="2">
          <reference field="4294967294" count="1" selected="0">
            <x v="0"/>
          </reference>
          <reference field="10" count="1" selected="0">
            <x v="4"/>
          </reference>
        </references>
      </pivotArea>
    </chartFormat>
    <chartFormat chart="6" format="5" series="1">
      <pivotArea type="data" outline="0" fieldPosition="0">
        <references count="2">
          <reference field="4294967294" count="1" selected="0">
            <x v="0"/>
          </reference>
          <reference field="10" count="1" selected="0">
            <x v="5"/>
          </reference>
        </references>
      </pivotArea>
    </chartFormat>
    <chartFormat chart="6" format="6" series="1">
      <pivotArea type="data" outline="0" fieldPosition="0">
        <references count="2">
          <reference field="4294967294" count="1" selected="0">
            <x v="0"/>
          </reference>
          <reference field="10" count="1" selected="0">
            <x v="6"/>
          </reference>
        </references>
      </pivotArea>
    </chartFormat>
    <chartFormat chart="6" format="7" series="1">
      <pivotArea type="data" outline="0" fieldPosition="0">
        <references count="2">
          <reference field="4294967294" count="1" selected="0">
            <x v="0"/>
          </reference>
          <reference field="10" count="1" selected="0">
            <x v="7"/>
          </reference>
        </references>
      </pivotArea>
    </chartFormat>
    <chartFormat chart="6" format="8" series="1">
      <pivotArea type="data" outline="0" fieldPosition="0">
        <references count="2">
          <reference field="4294967294" count="1" selected="0">
            <x v="0"/>
          </reference>
          <reference field="10" count="1" selected="0">
            <x v="8"/>
          </reference>
        </references>
      </pivotArea>
    </chartFormat>
    <chartFormat chart="6" format="9" series="1">
      <pivotArea type="data" outline="0" fieldPosition="0">
        <references count="2">
          <reference field="4294967294" count="1" selected="0">
            <x v="0"/>
          </reference>
          <reference field="10" count="1" selected="0">
            <x v="9"/>
          </reference>
        </references>
      </pivotArea>
    </chartFormat>
    <chartFormat chart="6" format="10" series="1">
      <pivotArea type="data" outline="0" fieldPosition="0">
        <references count="2">
          <reference field="4294967294" count="1" selected="0">
            <x v="0"/>
          </reference>
          <reference field="10" count="1" selected="0">
            <x v="10"/>
          </reference>
        </references>
      </pivotArea>
    </chartFormat>
    <chartFormat chart="6" format="11" series="1">
      <pivotArea type="data" outline="0" fieldPosition="0">
        <references count="2">
          <reference field="4294967294" count="1" selected="0">
            <x v="0"/>
          </reference>
          <reference field="10" count="1" selected="0">
            <x v="0"/>
          </reference>
        </references>
      </pivotArea>
    </chartFormat>
    <chartFormat chart="6" format="12"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C1794-6DB8-4291-8200-96A8B0B47B53}" name="PivotTable2" cacheId="10" applyNumberFormats="0" applyBorderFormats="0" applyFontFormats="0" applyPatternFormats="0" applyAlignmentFormats="0" applyWidthHeightFormats="1" dataCaption="Values" updatedVersion="8" minRefreshableVersion="3" showDrill="0" useAutoFormatting="1" rowGrandTotals="0" itemPrintTitles="1" createdVersion="8" indent="0" outline="1" outlineData="1" multipleFieldFilters="0">
  <location ref="A3:A53" firstHeaderRow="1" firstDataRow="1" firstDataCol="1" rowPageCount="1" colPageCount="1"/>
  <pivotFields count="22">
    <pivotField axis="axisRow" numFmtId="165" showAll="0">
      <items count="5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t="default" sd="0"/>
      </items>
    </pivotField>
    <pivotField axis="axisRow" showAll="0">
      <items count="51">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6"/>
        <item x="44"/>
        <item x="28"/>
        <item x="14"/>
        <item x="10"/>
        <item x="49"/>
        <item x="39"/>
        <item x="38"/>
        <item x="2"/>
        <item x="41"/>
        <item x="43"/>
        <item x="42"/>
        <item x="40"/>
        <item t="default"/>
      </items>
    </pivotField>
    <pivotField showAll="0"/>
    <pivotField showAll="0"/>
    <pivotField showAll="0"/>
    <pivotField showAll="0"/>
    <pivotField showAll="0">
      <items count="51">
        <item x="34"/>
        <item x="22"/>
        <item x="13"/>
        <item x="17"/>
        <item x="42"/>
        <item x="44"/>
        <item x="7"/>
        <item x="21"/>
        <item x="9"/>
        <item x="14"/>
        <item x="43"/>
        <item x="24"/>
        <item x="46"/>
        <item x="2"/>
        <item x="15"/>
        <item x="4"/>
        <item x="26"/>
        <item x="31"/>
        <item x="8"/>
        <item x="16"/>
        <item x="45"/>
        <item x="40"/>
        <item x="35"/>
        <item x="3"/>
        <item x="19"/>
        <item x="12"/>
        <item x="18"/>
        <item x="11"/>
        <item x="25"/>
        <item x="29"/>
        <item x="32"/>
        <item x="33"/>
        <item x="27"/>
        <item x="37"/>
        <item x="38"/>
        <item x="36"/>
        <item x="10"/>
        <item x="48"/>
        <item x="39"/>
        <item x="30"/>
        <item x="41"/>
        <item x="1"/>
        <item x="5"/>
        <item x="49"/>
        <item x="28"/>
        <item x="20"/>
        <item x="47"/>
        <item x="0"/>
        <item x="6"/>
        <item x="23"/>
        <item t="default"/>
      </items>
    </pivotField>
    <pivotField showAll="0"/>
    <pivotField axis="axisRow" showAll="0">
      <items count="3">
        <item x="0"/>
        <item x="1"/>
        <item t="default"/>
      </items>
    </pivotField>
    <pivotField showAll="0"/>
    <pivotField axis="axisRow" showAll="0">
      <items count="12">
        <item x="7"/>
        <item x="4"/>
        <item x="5"/>
        <item x="1"/>
        <item x="6"/>
        <item x="3"/>
        <item x="9"/>
        <item x="8"/>
        <item x="10"/>
        <item x="2"/>
        <item x="0"/>
        <item t="default"/>
      </items>
    </pivotField>
    <pivotField axis="axisRow" showAll="0">
      <items count="8">
        <item x="5"/>
        <item x="0"/>
        <item x="3"/>
        <item x="2"/>
        <item x="1"/>
        <item x="4"/>
        <item x="6"/>
        <item t="default"/>
      </items>
    </pivotField>
    <pivotField axis="axisRow" showAll="0">
      <items count="51">
        <item x="0"/>
        <item x="24"/>
        <item x="42"/>
        <item x="23"/>
        <item x="15"/>
        <item x="4"/>
        <item x="31"/>
        <item x="3"/>
        <item x="30"/>
        <item x="6"/>
        <item x="2"/>
        <item x="41"/>
        <item x="19"/>
        <item x="37"/>
        <item x="27"/>
        <item x="35"/>
        <item x="34"/>
        <item x="33"/>
        <item x="1"/>
        <item x="5"/>
        <item x="36"/>
        <item x="43"/>
        <item x="29"/>
        <item x="10"/>
        <item x="40"/>
        <item x="21"/>
        <item x="48"/>
        <item x="45"/>
        <item x="39"/>
        <item x="44"/>
        <item x="7"/>
        <item x="18"/>
        <item x="28"/>
        <item x="46"/>
        <item x="25"/>
        <item x="20"/>
        <item x="14"/>
        <item x="12"/>
        <item x="9"/>
        <item x="49"/>
        <item x="47"/>
        <item x="8"/>
        <item x="16"/>
        <item x="38"/>
        <item x="17"/>
        <item x="32"/>
        <item x="22"/>
        <item x="13"/>
        <item x="26"/>
        <item x="11"/>
        <item t="default"/>
      </items>
    </pivotField>
    <pivotField numFmtId="167" showAll="0"/>
    <pivotField showAll="0"/>
    <pivotField showAll="0"/>
    <pivotField axis="axisPage" showAll="0">
      <items count="3">
        <item x="0"/>
        <item x="1"/>
        <item t="default"/>
      </items>
    </pivotField>
    <pivotField axis="axisRow" showAll="0">
      <items count="33">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 t="default"/>
      </items>
    </pivotField>
    <pivotField showAll="0"/>
    <pivotField showAll="0" defaultSubtotal="0"/>
    <pivotField showAll="0" defaultSubtotal="0"/>
    <pivotField axis="axisRow" showAll="0" defaultSubtota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s>
  <rowFields count="8">
    <field x="0"/>
    <field x="11"/>
    <field x="10"/>
    <field x="1"/>
    <field x="12"/>
    <field x="21"/>
    <field x="8"/>
    <field x="1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pageFields count="1">
    <pageField fld="1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5" t="s">
        <v>252</v>
      </c>
      <c r="C2" s="46"/>
      <c r="D2" s="47"/>
      <c r="E2" s="51" t="s">
        <v>232</v>
      </c>
    </row>
    <row r="3" spans="2:5" ht="42" customHeight="1" thickBot="1" x14ac:dyDescent="0.35">
      <c r="B3" s="48"/>
      <c r="C3" s="49"/>
      <c r="D3" s="50"/>
      <c r="E3" s="52"/>
    </row>
    <row r="4" spans="2:5" ht="8.25" customHeight="1" x14ac:dyDescent="0.3"/>
    <row r="5" spans="2:5" ht="19.5" customHeight="1" thickBot="1" x14ac:dyDescent="0.35">
      <c r="C5" s="8" t="s">
        <v>226</v>
      </c>
      <c r="D5" s="8" t="s">
        <v>223</v>
      </c>
      <c r="E5" s="9" t="s">
        <v>224</v>
      </c>
    </row>
    <row r="6" spans="2:5" ht="19.5" customHeight="1" thickBot="1" x14ac:dyDescent="0.35">
      <c r="B6" s="19" t="s">
        <v>135</v>
      </c>
      <c r="C6" s="43" t="s">
        <v>225</v>
      </c>
      <c r="D6" s="43"/>
      <c r="E6" s="44"/>
    </row>
    <row r="7" spans="2:5" x14ac:dyDescent="0.3">
      <c r="B7" s="18">
        <v>1</v>
      </c>
      <c r="C7" s="10" t="s">
        <v>234</v>
      </c>
      <c r="D7" s="11" t="s">
        <v>229</v>
      </c>
      <c r="E7" s="12" t="s">
        <v>220</v>
      </c>
    </row>
    <row r="8" spans="2:5" x14ac:dyDescent="0.3">
      <c r="B8" s="11">
        <v>2</v>
      </c>
      <c r="C8" s="10" t="s">
        <v>234</v>
      </c>
      <c r="D8" s="11" t="s">
        <v>230</v>
      </c>
      <c r="E8" s="12" t="s">
        <v>235</v>
      </c>
    </row>
    <row r="9" spans="2:5" x14ac:dyDescent="0.3">
      <c r="B9" s="11">
        <v>3</v>
      </c>
      <c r="C9" s="10" t="s">
        <v>234</v>
      </c>
      <c r="D9" s="11" t="s">
        <v>231</v>
      </c>
      <c r="E9" s="12" t="s">
        <v>236</v>
      </c>
    </row>
    <row r="10" spans="2:5" ht="27.6" x14ac:dyDescent="0.3">
      <c r="B10" s="11">
        <v>4</v>
      </c>
      <c r="C10" s="10" t="s">
        <v>234</v>
      </c>
      <c r="D10" s="11" t="s">
        <v>237</v>
      </c>
      <c r="E10" s="28" t="s">
        <v>282</v>
      </c>
    </row>
    <row r="11" spans="2:5" ht="15" thickBot="1" x14ac:dyDescent="0.35">
      <c r="B11" s="14">
        <v>5</v>
      </c>
      <c r="C11" s="13" t="s">
        <v>234</v>
      </c>
      <c r="D11" s="14" t="s">
        <v>240</v>
      </c>
      <c r="E11" s="15" t="s">
        <v>241</v>
      </c>
    </row>
    <row r="12" spans="2:5" ht="15.6" thickTop="1" thickBot="1" x14ac:dyDescent="0.35"/>
    <row r="13" spans="2:5" ht="19.5" customHeight="1" thickBot="1" x14ac:dyDescent="0.35">
      <c r="B13" s="19" t="s">
        <v>135</v>
      </c>
      <c r="C13" s="43" t="s">
        <v>242</v>
      </c>
      <c r="D13" s="43"/>
      <c r="E13" s="44"/>
    </row>
    <row r="14" spans="2:5" x14ac:dyDescent="0.3">
      <c r="B14" s="18">
        <v>1</v>
      </c>
      <c r="C14" s="11" t="s">
        <v>234</v>
      </c>
      <c r="D14" s="11" t="s">
        <v>243</v>
      </c>
      <c r="E14" s="16" t="s">
        <v>244</v>
      </c>
    </row>
    <row r="15" spans="2:5" x14ac:dyDescent="0.3">
      <c r="B15" s="11">
        <v>2</v>
      </c>
      <c r="C15" s="11" t="s">
        <v>234</v>
      </c>
      <c r="D15" s="11" t="s">
        <v>245</v>
      </c>
      <c r="E15" s="16" t="s">
        <v>249</v>
      </c>
    </row>
    <row r="16" spans="2:5" x14ac:dyDescent="0.3">
      <c r="B16" s="11">
        <v>3</v>
      </c>
      <c r="C16" s="11" t="s">
        <v>234</v>
      </c>
      <c r="D16" s="11" t="s">
        <v>247</v>
      </c>
      <c r="E16" s="16" t="s">
        <v>248</v>
      </c>
    </row>
    <row r="17" spans="2:5" ht="55.8" thickBot="1" x14ac:dyDescent="0.35">
      <c r="B17" s="14">
        <v>4</v>
      </c>
      <c r="C17" s="14" t="s">
        <v>234</v>
      </c>
      <c r="D17" s="14" t="s">
        <v>250</v>
      </c>
      <c r="E17" s="17" t="s">
        <v>251</v>
      </c>
    </row>
    <row r="18" spans="2:5" ht="15" thickTop="1" x14ac:dyDescent="0.3"/>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5" t="s">
        <v>253</v>
      </c>
      <c r="C2" s="46"/>
      <c r="D2" s="47"/>
      <c r="E2" s="51" t="s">
        <v>232</v>
      </c>
    </row>
    <row r="3" spans="2:5" ht="42" customHeight="1" thickBot="1" x14ac:dyDescent="0.35">
      <c r="B3" s="48"/>
      <c r="C3" s="49"/>
      <c r="D3" s="50"/>
      <c r="E3" s="52"/>
    </row>
    <row r="4" spans="2:5" ht="8.25" customHeight="1" x14ac:dyDescent="0.3"/>
    <row r="5" spans="2:5" ht="27" customHeight="1" x14ac:dyDescent="0.3">
      <c r="B5" s="22" t="s">
        <v>260</v>
      </c>
      <c r="C5" s="21"/>
      <c r="D5" s="20"/>
      <c r="E5" s="20"/>
    </row>
    <row r="6" spans="2:5" ht="19.5" customHeight="1" thickBot="1" x14ac:dyDescent="0.35">
      <c r="C6" s="8" t="s">
        <v>226</v>
      </c>
      <c r="D6" s="8" t="s">
        <v>257</v>
      </c>
      <c r="E6" s="9" t="s">
        <v>224</v>
      </c>
    </row>
    <row r="7" spans="2:5" ht="19.5" customHeight="1" thickBot="1" x14ac:dyDescent="0.35">
      <c r="B7" s="19" t="s">
        <v>135</v>
      </c>
      <c r="C7" s="43" t="s">
        <v>254</v>
      </c>
      <c r="D7" s="43"/>
      <c r="E7" s="44"/>
    </row>
    <row r="8" spans="2:5" x14ac:dyDescent="0.3">
      <c r="B8" s="18">
        <v>1</v>
      </c>
      <c r="C8" s="10" t="s">
        <v>256</v>
      </c>
      <c r="D8" s="11" t="s">
        <v>258</v>
      </c>
      <c r="E8" s="16" t="s">
        <v>259</v>
      </c>
    </row>
    <row r="9" spans="2:5" x14ac:dyDescent="0.3">
      <c r="B9" s="11">
        <v>2</v>
      </c>
      <c r="C9" s="10" t="s">
        <v>256</v>
      </c>
      <c r="D9" s="11"/>
      <c r="E9" s="16" t="s">
        <v>261</v>
      </c>
    </row>
    <row r="10" spans="2:5" x14ac:dyDescent="0.3">
      <c r="B10" s="11">
        <v>3</v>
      </c>
      <c r="C10" s="10" t="s">
        <v>256</v>
      </c>
      <c r="D10" s="11"/>
      <c r="E10" s="16" t="s">
        <v>262</v>
      </c>
    </row>
    <row r="11" spans="2:5" x14ac:dyDescent="0.3">
      <c r="B11" s="11">
        <v>4</v>
      </c>
      <c r="C11" s="10" t="s">
        <v>256</v>
      </c>
      <c r="D11" s="11"/>
      <c r="E11" s="16" t="s">
        <v>263</v>
      </c>
    </row>
    <row r="12" spans="2:5" ht="15" thickBot="1" x14ac:dyDescent="0.35">
      <c r="B12" s="14">
        <v>5</v>
      </c>
      <c r="C12" s="13" t="s">
        <v>256</v>
      </c>
      <c r="D12" s="14"/>
      <c r="E12" s="17" t="s">
        <v>264</v>
      </c>
    </row>
    <row r="13" spans="2:5" ht="15.6" thickTop="1" thickBot="1" x14ac:dyDescent="0.35"/>
    <row r="14" spans="2:5" ht="19.5" customHeight="1" thickBot="1" x14ac:dyDescent="0.35">
      <c r="B14" s="19" t="s">
        <v>135</v>
      </c>
      <c r="C14" s="43" t="s">
        <v>255</v>
      </c>
      <c r="D14" s="43"/>
      <c r="E14" s="44"/>
    </row>
    <row r="15" spans="2:5" x14ac:dyDescent="0.3">
      <c r="B15" s="18">
        <v>1</v>
      </c>
      <c r="C15" s="10" t="s">
        <v>256</v>
      </c>
      <c r="D15" s="11" t="s">
        <v>265</v>
      </c>
      <c r="E15" s="16" t="s">
        <v>273</v>
      </c>
    </row>
    <row r="16" spans="2:5" x14ac:dyDescent="0.3">
      <c r="B16" s="11">
        <v>2</v>
      </c>
      <c r="C16" s="10" t="s">
        <v>256</v>
      </c>
      <c r="D16" s="11" t="s">
        <v>266</v>
      </c>
      <c r="E16" s="16" t="s">
        <v>268</v>
      </c>
    </row>
    <row r="17" spans="2:5" x14ac:dyDescent="0.3">
      <c r="B17" s="11">
        <v>3</v>
      </c>
      <c r="C17" s="10" t="s">
        <v>256</v>
      </c>
      <c r="D17" s="11" t="s">
        <v>267</v>
      </c>
      <c r="E17" s="16" t="s">
        <v>269</v>
      </c>
    </row>
    <row r="18" spans="2:5" ht="15" thickBot="1" x14ac:dyDescent="0.35">
      <c r="B18" s="14">
        <v>4</v>
      </c>
      <c r="C18" s="13" t="s">
        <v>256</v>
      </c>
      <c r="D18" s="14" t="s">
        <v>271</v>
      </c>
      <c r="E18" s="17" t="s">
        <v>270</v>
      </c>
    </row>
    <row r="19" spans="2:5" ht="15" thickTop="1" x14ac:dyDescent="0.3"/>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zoomScaleNormal="100" workbookViewId="0">
      <selection activeCell="E10" sqref="E10"/>
    </sheetView>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5" t="s">
        <v>272</v>
      </c>
      <c r="C2" s="46"/>
      <c r="D2" s="47"/>
      <c r="E2" s="51" t="s">
        <v>232</v>
      </c>
    </row>
    <row r="3" spans="2:5" ht="42" customHeight="1" thickBot="1" x14ac:dyDescent="0.35">
      <c r="B3" s="48"/>
      <c r="C3" s="49"/>
      <c r="D3" s="50"/>
      <c r="E3" s="52"/>
    </row>
    <row r="4" spans="2:5" ht="8.25" customHeight="1" x14ac:dyDescent="0.3"/>
    <row r="5" spans="2:5" ht="27" customHeight="1" x14ac:dyDescent="0.3">
      <c r="B5" s="22" t="s">
        <v>260</v>
      </c>
      <c r="C5" s="21"/>
      <c r="D5" s="20"/>
      <c r="E5" s="20"/>
    </row>
    <row r="6" spans="2:5" ht="19.5" customHeight="1" thickBot="1" x14ac:dyDescent="0.35">
      <c r="C6" s="8" t="s">
        <v>226</v>
      </c>
      <c r="D6" s="8" t="s">
        <v>257</v>
      </c>
      <c r="E6" s="9" t="s">
        <v>224</v>
      </c>
    </row>
    <row r="7" spans="2:5" ht="19.5" customHeight="1" thickBot="1" x14ac:dyDescent="0.35">
      <c r="B7" s="19" t="s">
        <v>135</v>
      </c>
      <c r="C7" s="43" t="s">
        <v>281</v>
      </c>
      <c r="D7" s="43"/>
      <c r="E7" s="44"/>
    </row>
    <row r="8" spans="2:5" x14ac:dyDescent="0.3">
      <c r="B8" s="18">
        <v>1</v>
      </c>
      <c r="C8" s="10" t="s">
        <v>227</v>
      </c>
      <c r="D8" s="11" t="s">
        <v>274</v>
      </c>
      <c r="E8" s="16" t="s">
        <v>275</v>
      </c>
    </row>
    <row r="9" spans="2:5" ht="42.6" customHeight="1" x14ac:dyDescent="0.3">
      <c r="B9" s="11">
        <v>2</v>
      </c>
      <c r="C9" s="10" t="s">
        <v>227</v>
      </c>
      <c r="D9" s="11"/>
      <c r="E9" s="24" t="s">
        <v>279</v>
      </c>
    </row>
    <row r="10" spans="2:5" x14ac:dyDescent="0.3">
      <c r="B10" s="11">
        <v>3</v>
      </c>
      <c r="C10" s="10" t="s">
        <v>227</v>
      </c>
      <c r="D10" s="11"/>
      <c r="E10" s="16" t="s">
        <v>276</v>
      </c>
    </row>
    <row r="11" spans="2:5" x14ac:dyDescent="0.3">
      <c r="B11" s="11">
        <v>4</v>
      </c>
      <c r="C11" s="10" t="s">
        <v>227</v>
      </c>
      <c r="D11" s="11"/>
      <c r="E11" s="16" t="s">
        <v>277</v>
      </c>
    </row>
    <row r="12" spans="2:5" x14ac:dyDescent="0.3">
      <c r="B12" s="25">
        <v>5</v>
      </c>
      <c r="C12" s="26" t="s">
        <v>227</v>
      </c>
      <c r="D12" s="25"/>
      <c r="E12" s="27" t="s">
        <v>264</v>
      </c>
    </row>
    <row r="13" spans="2:5" ht="15" thickBot="1" x14ac:dyDescent="0.35">
      <c r="B13" s="14">
        <v>5</v>
      </c>
      <c r="C13" s="13" t="s">
        <v>227</v>
      </c>
      <c r="D13" s="14" t="s">
        <v>280</v>
      </c>
      <c r="E13" s="17" t="s">
        <v>278</v>
      </c>
    </row>
    <row r="14" spans="2:5" ht="15" thickTop="1" x14ac:dyDescent="0.3"/>
  </sheetData>
  <sheetProtection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F3:H15"/>
  <sheetViews>
    <sheetView tabSelected="1" workbookViewId="0">
      <selection activeCell="L11" sqref="L11"/>
    </sheetView>
  </sheetViews>
  <sheetFormatPr defaultRowHeight="14.4" x14ac:dyDescent="0.3"/>
  <cols>
    <col min="2" max="2" width="15.77734375" bestFit="1" customWidth="1"/>
    <col min="3" max="3" width="15.5546875" customWidth="1"/>
    <col min="4" max="4" width="5.21875" customWidth="1"/>
    <col min="5" max="5" width="10.77734375" bestFit="1" customWidth="1"/>
    <col min="6" max="6" width="25" bestFit="1" customWidth="1"/>
    <col min="7" max="7" width="11.5546875" bestFit="1" customWidth="1"/>
    <col min="8" max="8" width="5.21875" bestFit="1" customWidth="1"/>
    <col min="9" max="9" width="8.44140625" bestFit="1" customWidth="1"/>
    <col min="10" max="10" width="6.88671875" bestFit="1" customWidth="1"/>
    <col min="11" max="11" width="7.6640625" bestFit="1" customWidth="1"/>
    <col min="12" max="12" width="9.6640625" bestFit="1" customWidth="1"/>
    <col min="13" max="13" width="13.44140625" bestFit="1" customWidth="1"/>
    <col min="14" max="14" width="6.21875" bestFit="1" customWidth="1"/>
    <col min="15" max="15" width="8.33203125" bestFit="1" customWidth="1"/>
    <col min="16" max="16" width="3.44140625" bestFit="1" customWidth="1"/>
    <col min="17" max="17" width="4.5546875" bestFit="1" customWidth="1"/>
  </cols>
  <sheetData>
    <row r="3" spans="6:8" x14ac:dyDescent="0.3">
      <c r="F3" s="40" t="s">
        <v>287</v>
      </c>
      <c r="G3" s="40" t="s">
        <v>284</v>
      </c>
      <c r="H3" s="41"/>
    </row>
    <row r="4" spans="6:8" x14ac:dyDescent="0.3">
      <c r="F4" s="40" t="s">
        <v>285</v>
      </c>
      <c r="G4" s="42" t="s">
        <v>138</v>
      </c>
      <c r="H4" s="42" t="s">
        <v>142</v>
      </c>
    </row>
    <row r="5" spans="6:8" x14ac:dyDescent="0.3">
      <c r="F5" s="1" t="s">
        <v>159</v>
      </c>
      <c r="G5">
        <v>1</v>
      </c>
      <c r="H5">
        <v>2</v>
      </c>
    </row>
    <row r="6" spans="6:8" x14ac:dyDescent="0.3">
      <c r="F6" s="1" t="s">
        <v>151</v>
      </c>
      <c r="G6">
        <v>6</v>
      </c>
      <c r="H6">
        <v>2</v>
      </c>
    </row>
    <row r="7" spans="6:8" x14ac:dyDescent="0.3">
      <c r="F7" s="1" t="s">
        <v>153</v>
      </c>
      <c r="G7">
        <v>1</v>
      </c>
      <c r="H7">
        <v>2</v>
      </c>
    </row>
    <row r="8" spans="6:8" x14ac:dyDescent="0.3">
      <c r="F8" s="1" t="s">
        <v>144</v>
      </c>
      <c r="H8">
        <v>2</v>
      </c>
    </row>
    <row r="9" spans="6:8" x14ac:dyDescent="0.3">
      <c r="F9" s="1" t="s">
        <v>156</v>
      </c>
      <c r="G9">
        <v>3</v>
      </c>
      <c r="H9">
        <v>6</v>
      </c>
    </row>
    <row r="10" spans="6:8" x14ac:dyDescent="0.3">
      <c r="F10" s="1" t="s">
        <v>149</v>
      </c>
      <c r="G10">
        <v>1</v>
      </c>
      <c r="H10">
        <v>4</v>
      </c>
    </row>
    <row r="11" spans="6:8" x14ac:dyDescent="0.3">
      <c r="F11" s="1" t="s">
        <v>164</v>
      </c>
      <c r="G11">
        <v>2</v>
      </c>
      <c r="H11">
        <v>1</v>
      </c>
    </row>
    <row r="12" spans="6:8" x14ac:dyDescent="0.3">
      <c r="F12" s="1" t="s">
        <v>161</v>
      </c>
      <c r="G12">
        <v>3</v>
      </c>
    </row>
    <row r="13" spans="6:8" x14ac:dyDescent="0.3">
      <c r="F13" s="1" t="s">
        <v>167</v>
      </c>
      <c r="G13">
        <v>1</v>
      </c>
      <c r="H13">
        <v>1</v>
      </c>
    </row>
    <row r="14" spans="6:8" x14ac:dyDescent="0.3">
      <c r="F14" s="1" t="s">
        <v>146</v>
      </c>
      <c r="G14">
        <v>3</v>
      </c>
      <c r="H14">
        <v>2</v>
      </c>
    </row>
    <row r="15" spans="6:8" x14ac:dyDescent="0.3">
      <c r="F15" s="1" t="s">
        <v>140</v>
      </c>
      <c r="G15">
        <v>4</v>
      </c>
      <c r="H15">
        <v>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A1:B53"/>
  <sheetViews>
    <sheetView workbookViewId="0">
      <selection activeCell="A4" sqref="A4"/>
    </sheetView>
  </sheetViews>
  <sheetFormatPr defaultRowHeight="14.4" x14ac:dyDescent="0.3"/>
  <cols>
    <col min="1" max="1" width="15.5546875" bestFit="1" customWidth="1"/>
    <col min="2" max="2" width="6.33203125" bestFit="1" customWidth="1"/>
    <col min="3" max="3" width="16.6640625" bestFit="1" customWidth="1"/>
    <col min="4" max="4" width="19.33203125" bestFit="1" customWidth="1"/>
    <col min="5" max="5" width="15" bestFit="1" customWidth="1"/>
    <col min="6" max="6" width="13.5546875" bestFit="1" customWidth="1"/>
    <col min="7" max="7" width="14.21875" bestFit="1" customWidth="1"/>
    <col min="8" max="8" width="13.21875" bestFit="1" customWidth="1"/>
    <col min="9" max="9" width="20.109375" bestFit="1" customWidth="1"/>
    <col min="10" max="10" width="15.77734375" bestFit="1" customWidth="1"/>
    <col min="11" max="11" width="16.77734375" bestFit="1" customWidth="1"/>
    <col min="12" max="12" width="14.5546875" bestFit="1" customWidth="1"/>
    <col min="13" max="13" width="18.109375" bestFit="1" customWidth="1"/>
    <col min="14" max="14" width="18.21875" bestFit="1" customWidth="1"/>
    <col min="15" max="15" width="14.44140625" bestFit="1" customWidth="1"/>
    <col min="16" max="16" width="17.33203125" bestFit="1" customWidth="1"/>
    <col min="17" max="17" width="18" bestFit="1" customWidth="1"/>
    <col min="18" max="18" width="15" bestFit="1" customWidth="1"/>
    <col min="19" max="19" width="23.109375" bestFit="1" customWidth="1"/>
    <col min="20" max="20" width="23.5546875" bestFit="1" customWidth="1"/>
    <col min="21" max="21" width="18.21875" bestFit="1" customWidth="1"/>
    <col min="22" max="22" width="14.5546875" bestFit="1" customWidth="1"/>
    <col min="23" max="23" width="23.33203125" bestFit="1" customWidth="1"/>
    <col min="24" max="24" width="20.33203125" bestFit="1" customWidth="1"/>
    <col min="25" max="25" width="21.88671875" bestFit="1" customWidth="1"/>
    <col min="26" max="26" width="16.21875" bestFit="1" customWidth="1"/>
    <col min="27" max="27" width="17.21875" bestFit="1" customWidth="1"/>
    <col min="28" max="28" width="16.5546875" bestFit="1" customWidth="1"/>
    <col min="29" max="29" width="13.33203125" bestFit="1" customWidth="1"/>
    <col min="30" max="31" width="16.44140625" bestFit="1" customWidth="1"/>
    <col min="32" max="32" width="17.5546875" bestFit="1" customWidth="1"/>
    <col min="33" max="33" width="18.88671875" bestFit="1" customWidth="1"/>
    <col min="34" max="34" width="15.88671875" bestFit="1" customWidth="1"/>
    <col min="35" max="35" width="19.33203125" bestFit="1" customWidth="1"/>
    <col min="36" max="36" width="20.44140625" bestFit="1" customWidth="1"/>
    <col min="37" max="37" width="21.109375" bestFit="1" customWidth="1"/>
    <col min="38" max="38" width="15.33203125" bestFit="1" customWidth="1"/>
    <col min="39" max="39" width="16.88671875" bestFit="1" customWidth="1"/>
    <col min="40" max="40" width="13.5546875" bestFit="1" customWidth="1"/>
    <col min="41" max="41" width="22.21875" bestFit="1" customWidth="1"/>
    <col min="42" max="42" width="18.33203125" bestFit="1" customWidth="1"/>
    <col min="43" max="43" width="15.77734375" bestFit="1" customWidth="1"/>
    <col min="44" max="44" width="18.6640625" bestFit="1" customWidth="1"/>
    <col min="45" max="45" width="18" bestFit="1" customWidth="1"/>
    <col min="46" max="46" width="16.88671875" bestFit="1" customWidth="1"/>
    <col min="47" max="47" width="13.77734375" bestFit="1" customWidth="1"/>
    <col min="48" max="48" width="15.88671875" bestFit="1" customWidth="1"/>
    <col min="49" max="49" width="18.77734375" bestFit="1" customWidth="1"/>
    <col min="50" max="50" width="15.44140625" bestFit="1" customWidth="1"/>
    <col min="51" max="51" width="16.21875" bestFit="1" customWidth="1"/>
    <col min="52" max="52" width="10.77734375" bestFit="1" customWidth="1"/>
  </cols>
  <sheetData>
    <row r="1" spans="1:2" x14ac:dyDescent="0.3">
      <c r="A1" s="36" t="s">
        <v>238</v>
      </c>
      <c r="B1" t="s">
        <v>286</v>
      </c>
    </row>
    <row r="3" spans="1:2" x14ac:dyDescent="0.3">
      <c r="A3" s="36" t="s">
        <v>283</v>
      </c>
    </row>
    <row r="4" spans="1:2" x14ac:dyDescent="0.3">
      <c r="A4" s="39">
        <v>1</v>
      </c>
    </row>
    <row r="5" spans="1:2" x14ac:dyDescent="0.3">
      <c r="A5" s="39">
        <v>2</v>
      </c>
    </row>
    <row r="6" spans="1:2" x14ac:dyDescent="0.3">
      <c r="A6" s="39">
        <v>3</v>
      </c>
    </row>
    <row r="7" spans="1:2" x14ac:dyDescent="0.3">
      <c r="A7" s="39">
        <v>4</v>
      </c>
    </row>
    <row r="8" spans="1:2" x14ac:dyDescent="0.3">
      <c r="A8" s="39">
        <v>5</v>
      </c>
    </row>
    <row r="9" spans="1:2" x14ac:dyDescent="0.3">
      <c r="A9" s="39">
        <v>6</v>
      </c>
    </row>
    <row r="10" spans="1:2" x14ac:dyDescent="0.3">
      <c r="A10" s="39">
        <v>7</v>
      </c>
    </row>
    <row r="11" spans="1:2" x14ac:dyDescent="0.3">
      <c r="A11" s="39">
        <v>8</v>
      </c>
    </row>
    <row r="12" spans="1:2" x14ac:dyDescent="0.3">
      <c r="A12" s="39">
        <v>9</v>
      </c>
    </row>
    <row r="13" spans="1:2" x14ac:dyDescent="0.3">
      <c r="A13" s="39">
        <v>10</v>
      </c>
    </row>
    <row r="14" spans="1:2" x14ac:dyDescent="0.3">
      <c r="A14" s="39">
        <v>11</v>
      </c>
    </row>
    <row r="15" spans="1:2" x14ac:dyDescent="0.3">
      <c r="A15" s="39">
        <v>12</v>
      </c>
    </row>
    <row r="16" spans="1:2" x14ac:dyDescent="0.3">
      <c r="A16" s="39">
        <v>13</v>
      </c>
    </row>
    <row r="17" spans="1:1" x14ac:dyDescent="0.3">
      <c r="A17" s="39">
        <v>14</v>
      </c>
    </row>
    <row r="18" spans="1:1" x14ac:dyDescent="0.3">
      <c r="A18" s="39">
        <v>15</v>
      </c>
    </row>
    <row r="19" spans="1:1" x14ac:dyDescent="0.3">
      <c r="A19" s="39">
        <v>16</v>
      </c>
    </row>
    <row r="20" spans="1:1" x14ac:dyDescent="0.3">
      <c r="A20" s="39">
        <v>17</v>
      </c>
    </row>
    <row r="21" spans="1:1" x14ac:dyDescent="0.3">
      <c r="A21" s="39">
        <v>18</v>
      </c>
    </row>
    <row r="22" spans="1:1" x14ac:dyDescent="0.3">
      <c r="A22" s="39">
        <v>19</v>
      </c>
    </row>
    <row r="23" spans="1:1" x14ac:dyDescent="0.3">
      <c r="A23" s="39">
        <v>20</v>
      </c>
    </row>
    <row r="24" spans="1:1" x14ac:dyDescent="0.3">
      <c r="A24" s="39">
        <v>21</v>
      </c>
    </row>
    <row r="25" spans="1:1" x14ac:dyDescent="0.3">
      <c r="A25" s="39">
        <v>22</v>
      </c>
    </row>
    <row r="26" spans="1:1" x14ac:dyDescent="0.3">
      <c r="A26" s="39">
        <v>23</v>
      </c>
    </row>
    <row r="27" spans="1:1" x14ac:dyDescent="0.3">
      <c r="A27" s="39">
        <v>24</v>
      </c>
    </row>
    <row r="28" spans="1:1" x14ac:dyDescent="0.3">
      <c r="A28" s="39">
        <v>25</v>
      </c>
    </row>
    <row r="29" spans="1:1" x14ac:dyDescent="0.3">
      <c r="A29" s="39">
        <v>26</v>
      </c>
    </row>
    <row r="30" spans="1:1" x14ac:dyDescent="0.3">
      <c r="A30" s="39">
        <v>27</v>
      </c>
    </row>
    <row r="31" spans="1:1" x14ac:dyDescent="0.3">
      <c r="A31" s="39">
        <v>28</v>
      </c>
    </row>
    <row r="32" spans="1:1" x14ac:dyDescent="0.3">
      <c r="A32" s="39">
        <v>29</v>
      </c>
    </row>
    <row r="33" spans="1:1" x14ac:dyDescent="0.3">
      <c r="A33" s="39">
        <v>30</v>
      </c>
    </row>
    <row r="34" spans="1:1" x14ac:dyDescent="0.3">
      <c r="A34" s="39">
        <v>31</v>
      </c>
    </row>
    <row r="35" spans="1:1" x14ac:dyDescent="0.3">
      <c r="A35" s="39">
        <v>32</v>
      </c>
    </row>
    <row r="36" spans="1:1" x14ac:dyDescent="0.3">
      <c r="A36" s="39">
        <v>33</v>
      </c>
    </row>
    <row r="37" spans="1:1" x14ac:dyDescent="0.3">
      <c r="A37" s="39">
        <v>34</v>
      </c>
    </row>
    <row r="38" spans="1:1" x14ac:dyDescent="0.3">
      <c r="A38" s="39">
        <v>35</v>
      </c>
    </row>
    <row r="39" spans="1:1" x14ac:dyDescent="0.3">
      <c r="A39" s="39">
        <v>36</v>
      </c>
    </row>
    <row r="40" spans="1:1" x14ac:dyDescent="0.3">
      <c r="A40" s="39">
        <v>37</v>
      </c>
    </row>
    <row r="41" spans="1:1" x14ac:dyDescent="0.3">
      <c r="A41" s="39">
        <v>38</v>
      </c>
    </row>
    <row r="42" spans="1:1" x14ac:dyDescent="0.3">
      <c r="A42" s="39">
        <v>39</v>
      </c>
    </row>
    <row r="43" spans="1:1" x14ac:dyDescent="0.3">
      <c r="A43" s="39">
        <v>40</v>
      </c>
    </row>
    <row r="44" spans="1:1" x14ac:dyDescent="0.3">
      <c r="A44" s="39">
        <v>41</v>
      </c>
    </row>
    <row r="45" spans="1:1" x14ac:dyDescent="0.3">
      <c r="A45" s="39">
        <v>42</v>
      </c>
    </row>
    <row r="46" spans="1:1" x14ac:dyDescent="0.3">
      <c r="A46" s="39">
        <v>43</v>
      </c>
    </row>
    <row r="47" spans="1:1" x14ac:dyDescent="0.3">
      <c r="A47" s="39">
        <v>44</v>
      </c>
    </row>
    <row r="48" spans="1:1" x14ac:dyDescent="0.3">
      <c r="A48" s="39">
        <v>45</v>
      </c>
    </row>
    <row r="49" spans="1:1" x14ac:dyDescent="0.3">
      <c r="A49" s="39">
        <v>46</v>
      </c>
    </row>
    <row r="50" spans="1:1" x14ac:dyDescent="0.3">
      <c r="A50" s="39">
        <v>47</v>
      </c>
    </row>
    <row r="51" spans="1:1" x14ac:dyDescent="0.3">
      <c r="A51" s="39">
        <v>48</v>
      </c>
    </row>
    <row r="52" spans="1:1" x14ac:dyDescent="0.3">
      <c r="A52" s="39">
        <v>49</v>
      </c>
    </row>
    <row r="53" spans="1:1" x14ac:dyDescent="0.3">
      <c r="A53" s="39">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S51"/>
  <sheetViews>
    <sheetView workbookViewId="0">
      <pane xSplit="1" ySplit="1" topLeftCell="K2" activePane="bottomRight" state="frozen"/>
      <selection pane="topRight" activeCell="B1" sqref="B1"/>
      <selection pane="bottomLeft" activeCell="A2" sqref="A2"/>
      <selection pane="bottomRight" activeCell="S2" sqref="S2"/>
    </sheetView>
  </sheetViews>
  <sheetFormatPr defaultRowHeight="14.4" x14ac:dyDescent="0.3"/>
  <cols>
    <col min="1" max="1" width="9.88671875" bestFit="1" customWidth="1"/>
    <col min="2" max="2" width="26" customWidth="1"/>
    <col min="3" max="3" width="8" customWidth="1"/>
    <col min="4" max="4" width="12" customWidth="1"/>
    <col min="5" max="5" width="11.88671875" bestFit="1" customWidth="1"/>
    <col min="6" max="6" width="13.88671875" bestFit="1" customWidth="1"/>
    <col min="7" max="7" width="13.5546875" style="23" customWidth="1"/>
    <col min="8" max="8" width="13.44140625" customWidth="1"/>
    <col min="9" max="9" width="9.109375" customWidth="1"/>
    <col min="10" max="10" width="12.88671875" bestFit="1" customWidth="1"/>
    <col min="11" max="11" width="15.5546875" customWidth="1"/>
    <col min="12" max="12" width="13.88671875" customWidth="1"/>
    <col min="13" max="13" width="26.88671875" customWidth="1"/>
    <col min="14" max="14" width="11.6640625" bestFit="1" customWidth="1"/>
    <col min="15" max="15" width="10.44140625" customWidth="1"/>
    <col min="16" max="16" width="10.33203125" bestFit="1" customWidth="1"/>
    <col min="17" max="17" width="16" customWidth="1"/>
    <col min="18" max="18" width="24" bestFit="1" customWidth="1"/>
    <col min="19" max="19" width="10.88671875" customWidth="1"/>
  </cols>
  <sheetData>
    <row r="1" spans="1:19" s="1" customFormat="1" x14ac:dyDescent="0.3">
      <c r="A1" s="5" t="s">
        <v>222</v>
      </c>
      <c r="B1" s="6" t="s">
        <v>221</v>
      </c>
      <c r="C1" s="5" t="s">
        <v>0</v>
      </c>
      <c r="D1" s="5" t="s">
        <v>1</v>
      </c>
      <c r="E1" s="5" t="s">
        <v>2</v>
      </c>
      <c r="F1" s="5" t="s">
        <v>3</v>
      </c>
      <c r="G1" s="37" t="s">
        <v>4</v>
      </c>
      <c r="H1" s="5" t="s">
        <v>5</v>
      </c>
      <c r="I1" s="5" t="s">
        <v>170</v>
      </c>
      <c r="J1" s="5" t="s">
        <v>137</v>
      </c>
      <c r="K1" s="5" t="s">
        <v>228</v>
      </c>
      <c r="L1" s="5" t="s">
        <v>136</v>
      </c>
      <c r="M1" s="5" t="s">
        <v>233</v>
      </c>
      <c r="N1" s="7" t="s">
        <v>246</v>
      </c>
      <c r="O1" s="5" t="s">
        <v>207</v>
      </c>
      <c r="P1" s="5" t="s">
        <v>208</v>
      </c>
      <c r="Q1" s="5" t="s">
        <v>238</v>
      </c>
      <c r="R1" s="5" t="s">
        <v>172</v>
      </c>
      <c r="S1" s="5" t="s">
        <v>239</v>
      </c>
    </row>
    <row r="2" spans="1:19" x14ac:dyDescent="0.3">
      <c r="A2" s="33">
        <v>1</v>
      </c>
      <c r="B2" s="3" t="str">
        <f>_xlfn.CONCAT($C2," ",$D2," ",$F2)</f>
        <v>Ms. Annie Abbott</v>
      </c>
      <c r="C2" s="3" t="s">
        <v>6</v>
      </c>
      <c r="D2" s="3" t="s">
        <v>7</v>
      </c>
      <c r="E2" s="3"/>
      <c r="F2" s="3" t="s">
        <v>8</v>
      </c>
      <c r="G2" s="34">
        <v>35699</v>
      </c>
      <c r="H2" s="3" t="s">
        <v>9</v>
      </c>
      <c r="I2" s="3" t="s">
        <v>138</v>
      </c>
      <c r="J2" s="32" t="s">
        <v>141</v>
      </c>
      <c r="K2" s="32" t="str">
        <f>HLOOKUP($J2,LOCATION!$A$2:$M$3,2,0)</f>
        <v>USA</v>
      </c>
      <c r="L2" s="4" t="str">
        <f>_xlfn.XLOOKUP($J2,LOCATION!B$2:M$2,LOCATION!B$1:M$1,,0)</f>
        <v>English</v>
      </c>
      <c r="M2" s="4" t="str">
        <f>IF($L2="English",LOWER(_xlfn.CONCAT(SPORTSMEN!$F2,".",SPORTSMEN!$D2,"@xyz.org")),LOWER(_xlfn.CONCAT(SPORTSMEN!$F2,".",SPORTSMEN!D2,"@xyz.com")))</f>
        <v>abbott.annie@xyz.org</v>
      </c>
      <c r="N2" s="35">
        <v>94</v>
      </c>
      <c r="O2" s="3" t="s">
        <v>209</v>
      </c>
      <c r="P2" s="3" t="s">
        <v>210</v>
      </c>
      <c r="Q2" s="3" t="str">
        <f>_xlfn.XLOOKUP(SPORTSMEN!$R2,SPORT!$B$2:$B$33,SPORT!$A$2:$A$33,,0)</f>
        <v>INDOOR</v>
      </c>
      <c r="R2" s="3" t="s">
        <v>174</v>
      </c>
      <c r="S2" s="38">
        <v>80727</v>
      </c>
    </row>
    <row r="3" spans="1:19" x14ac:dyDescent="0.3">
      <c r="A3" s="33">
        <v>2</v>
      </c>
      <c r="B3" s="3" t="str">
        <f t="shared" ref="B3:B51" si="0">_xlfn.CONCAT($C3," ",$D3," ",$F3)</f>
        <v>Ms. Aurelie Liesuchke</v>
      </c>
      <c r="C3" s="2" t="s">
        <v>6</v>
      </c>
      <c r="D3" s="2" t="s">
        <v>10</v>
      </c>
      <c r="E3" s="2"/>
      <c r="F3" s="2" t="s">
        <v>11</v>
      </c>
      <c r="G3" s="34">
        <v>33641</v>
      </c>
      <c r="H3" s="2" t="s">
        <v>12</v>
      </c>
      <c r="I3" s="2" t="s">
        <v>138</v>
      </c>
      <c r="J3" s="4" t="s">
        <v>141</v>
      </c>
      <c r="K3" s="32" t="str">
        <f>HLOOKUP($J3,LOCATION!$A$2:$M$3,2,0)</f>
        <v>USA</v>
      </c>
      <c r="L3" s="4" t="str">
        <f>_xlfn.XLOOKUP($J3,LOCATION!B$2:M$2,LOCATION!B$1:M$1,,0)</f>
        <v>English</v>
      </c>
      <c r="M3" s="4" t="str">
        <f>IF($L3="English",LOWER(_xlfn.CONCAT(SPORTSMEN!$F3,".",SPORTSMEN!$D3,"@xyz.org")),LOWER(_xlfn.CONCAT(SPORTSMEN!$F3,".",SPORTSMEN!D3,"@xyz.com")))</f>
        <v>liesuchke.aurelie@xyz.org</v>
      </c>
      <c r="N3" s="35">
        <v>84.2</v>
      </c>
      <c r="O3" s="2" t="s">
        <v>211</v>
      </c>
      <c r="P3" s="2" t="s">
        <v>212</v>
      </c>
      <c r="Q3" s="3" t="str">
        <f>_xlfn.XLOOKUP(SPORTSMEN!$R3,SPORT!$B$2:$B$33,SPORT!$A$2:$A$33,,0)</f>
        <v>INDOOR</v>
      </c>
      <c r="R3" s="2" t="s">
        <v>175</v>
      </c>
      <c r="S3" s="38">
        <v>87471</v>
      </c>
    </row>
    <row r="4" spans="1:19" x14ac:dyDescent="0.3">
      <c r="A4" s="33">
        <v>3</v>
      </c>
      <c r="B4" s="3" t="str">
        <f t="shared" si="0"/>
        <v>Sr. Tomas Filho</v>
      </c>
      <c r="C4" s="2" t="s">
        <v>13</v>
      </c>
      <c r="D4" s="2" t="s">
        <v>14</v>
      </c>
      <c r="E4" s="2" t="s">
        <v>15</v>
      </c>
      <c r="F4" s="2" t="s">
        <v>16</v>
      </c>
      <c r="G4" s="34">
        <v>25394</v>
      </c>
      <c r="H4" s="2" t="s">
        <v>17</v>
      </c>
      <c r="I4" s="2" t="s">
        <v>142</v>
      </c>
      <c r="J4" s="4" t="s">
        <v>145</v>
      </c>
      <c r="K4" s="32" t="str">
        <f>HLOOKUP($J4,LOCATION!$A$2:$M$3,2,0)</f>
        <v>BRAZIL</v>
      </c>
      <c r="L4" s="4" t="str">
        <f>_xlfn.XLOOKUP($J4,LOCATION!B$2:M$2,LOCATION!B$1:M$1,,0)</f>
        <v>Portuguese</v>
      </c>
      <c r="M4" s="4" t="str">
        <f>IF($L4="English",LOWER(_xlfn.CONCAT(SPORTSMEN!$F4,".",SPORTSMEN!$D4,"@xyz.org")),LOWER(_xlfn.CONCAT(SPORTSMEN!$F4,".",SPORTSMEN!D4,"@xyz.com")))</f>
        <v>filho.tomas@xyz.com</v>
      </c>
      <c r="N4" s="35">
        <v>52.9</v>
      </c>
      <c r="O4" s="2" t="s">
        <v>213</v>
      </c>
      <c r="P4" s="2" t="s">
        <v>210</v>
      </c>
      <c r="Q4" s="3" t="str">
        <f>_xlfn.XLOOKUP(SPORTSMEN!$R4,SPORT!$B$2:$B$33,SPORT!$A$2:$A$33,,0)</f>
        <v>OUTDOOR</v>
      </c>
      <c r="R4" s="2" t="s">
        <v>177</v>
      </c>
      <c r="S4" s="38">
        <v>64724</v>
      </c>
    </row>
    <row r="5" spans="1:19" x14ac:dyDescent="0.3">
      <c r="A5" s="33">
        <v>4</v>
      </c>
      <c r="B5" s="3" t="str">
        <f t="shared" si="0"/>
        <v>Ms. Darby Cruickshank</v>
      </c>
      <c r="C5" s="2" t="s">
        <v>6</v>
      </c>
      <c r="D5" s="2" t="s">
        <v>18</v>
      </c>
      <c r="E5" s="2"/>
      <c r="F5" s="2" t="s">
        <v>19</v>
      </c>
      <c r="G5" s="34">
        <v>27532</v>
      </c>
      <c r="H5" s="2" t="s">
        <v>20</v>
      </c>
      <c r="I5" s="2" t="s">
        <v>138</v>
      </c>
      <c r="J5" s="4" t="s">
        <v>141</v>
      </c>
      <c r="K5" s="32" t="str">
        <f>HLOOKUP($J5,LOCATION!$A$2:$M$3,2,0)</f>
        <v>USA</v>
      </c>
      <c r="L5" s="4" t="str">
        <f>_xlfn.XLOOKUP($J5,LOCATION!B$2:M$2,LOCATION!B$1:M$1,,0)</f>
        <v>English</v>
      </c>
      <c r="M5" s="4" t="str">
        <f>IF($L5="English",LOWER(_xlfn.CONCAT(SPORTSMEN!$F5,".",SPORTSMEN!$D5,"@xyz.org")),LOWER(_xlfn.CONCAT(SPORTSMEN!$F5,".",SPORTSMEN!D5,"@xyz.com")))</f>
        <v>cruickshank.darby@xyz.org</v>
      </c>
      <c r="N5" s="35">
        <v>48.9</v>
      </c>
      <c r="O5" s="2" t="s">
        <v>209</v>
      </c>
      <c r="P5" s="2" t="s">
        <v>212</v>
      </c>
      <c r="Q5" s="3" t="str">
        <f>_xlfn.XLOOKUP(SPORTSMEN!$R5,SPORT!$B$2:$B$33,SPORT!$A$2:$A$33,,0)</f>
        <v>OUTDOOR</v>
      </c>
      <c r="R5" s="2" t="s">
        <v>178</v>
      </c>
      <c r="S5" s="38">
        <v>110823</v>
      </c>
    </row>
    <row r="6" spans="1:19" x14ac:dyDescent="0.3">
      <c r="A6" s="33">
        <v>5</v>
      </c>
      <c r="B6" s="3" t="str">
        <f t="shared" si="0"/>
        <v>Dr. Jaydon Borer</v>
      </c>
      <c r="C6" s="2" t="s">
        <v>21</v>
      </c>
      <c r="D6" s="2" t="s">
        <v>22</v>
      </c>
      <c r="E6" s="2"/>
      <c r="F6" s="2" t="s">
        <v>23</v>
      </c>
      <c r="G6" s="34">
        <v>25706</v>
      </c>
      <c r="H6" s="2" t="s">
        <v>20</v>
      </c>
      <c r="I6" s="2" t="s">
        <v>142</v>
      </c>
      <c r="J6" s="4" t="s">
        <v>141</v>
      </c>
      <c r="K6" s="32" t="str">
        <f>HLOOKUP($J6,LOCATION!$A$2:$M$3,2,0)</f>
        <v>USA</v>
      </c>
      <c r="L6" s="4" t="str">
        <f>_xlfn.XLOOKUP($J6,LOCATION!B$2:M$2,LOCATION!B$1:M$1,,0)</f>
        <v>English</v>
      </c>
      <c r="M6" s="4" t="str">
        <f>IF($L6="English",LOWER(_xlfn.CONCAT(SPORTSMEN!$F6,".",SPORTSMEN!$D6,"@xyz.org")),LOWER(_xlfn.CONCAT(SPORTSMEN!$F6,".",SPORTSMEN!D6,"@xyz.com")))</f>
        <v>borer.jaydon@xyz.org</v>
      </c>
      <c r="N6" s="35">
        <v>84.8</v>
      </c>
      <c r="O6" s="2" t="s">
        <v>214</v>
      </c>
      <c r="P6" s="2" t="s">
        <v>215</v>
      </c>
      <c r="Q6" s="3" t="str">
        <f>_xlfn.XLOOKUP(SPORTSMEN!$R6,SPORT!$B$2:$B$33,SPORT!$A$2:$A$33,,0)</f>
        <v>INDOOR</v>
      </c>
      <c r="R6" s="2" t="s">
        <v>179</v>
      </c>
      <c r="S6" s="38">
        <v>56916</v>
      </c>
    </row>
    <row r="7" spans="1:19" x14ac:dyDescent="0.3">
      <c r="A7" s="33">
        <v>6</v>
      </c>
      <c r="B7" s="3" t="str">
        <f t="shared" si="0"/>
        <v>Mr. Moriah  Lynch</v>
      </c>
      <c r="C7" s="2" t="s">
        <v>24</v>
      </c>
      <c r="D7" s="2" t="s">
        <v>25</v>
      </c>
      <c r="E7" s="2"/>
      <c r="F7" s="2" t="s">
        <v>26</v>
      </c>
      <c r="G7" s="34">
        <v>33944</v>
      </c>
      <c r="H7" s="2" t="s">
        <v>27</v>
      </c>
      <c r="I7" s="2" t="s">
        <v>142</v>
      </c>
      <c r="J7" s="4" t="s">
        <v>141</v>
      </c>
      <c r="K7" s="32" t="str">
        <f>HLOOKUP($J7,LOCATION!$A$2:$M$3,2,0)</f>
        <v>USA</v>
      </c>
      <c r="L7" s="4" t="str">
        <f>_xlfn.XLOOKUP($J7,LOCATION!B$2:M$2,LOCATION!B$1:M$1,,0)</f>
        <v>English</v>
      </c>
      <c r="M7" s="4" t="str">
        <f>IF($L7="English",LOWER(_xlfn.CONCAT(SPORTSMEN!$F7,".",SPORTSMEN!$D7,"@xyz.org")),LOWER(_xlfn.CONCAT(SPORTSMEN!$F7,".",SPORTSMEN!D7,"@xyz.com")))</f>
        <v>lynch.moriah @xyz.org</v>
      </c>
      <c r="N7" s="35">
        <v>83.2</v>
      </c>
      <c r="O7" s="2" t="s">
        <v>214</v>
      </c>
      <c r="P7" s="2" t="s">
        <v>212</v>
      </c>
      <c r="Q7" s="3" t="str">
        <f>_xlfn.XLOOKUP(SPORTSMEN!$R7,SPORT!$B$2:$B$33,SPORT!$A$2:$A$33,,0)</f>
        <v>INDOOR</v>
      </c>
      <c r="R7" s="2" t="s">
        <v>180</v>
      </c>
      <c r="S7" s="38">
        <v>51133</v>
      </c>
    </row>
    <row r="8" spans="1:19" x14ac:dyDescent="0.3">
      <c r="A8" s="33">
        <v>7</v>
      </c>
      <c r="B8" s="3" t="str">
        <f t="shared" si="0"/>
        <v>Ms. Amiya Eichmann</v>
      </c>
      <c r="C8" s="2" t="s">
        <v>6</v>
      </c>
      <c r="D8" s="2" t="s">
        <v>28</v>
      </c>
      <c r="E8" s="2"/>
      <c r="F8" s="2" t="s">
        <v>29</v>
      </c>
      <c r="G8" s="34">
        <v>36370</v>
      </c>
      <c r="H8" s="2" t="s">
        <v>30</v>
      </c>
      <c r="I8" s="2" t="s">
        <v>138</v>
      </c>
      <c r="J8" s="4" t="s">
        <v>141</v>
      </c>
      <c r="K8" s="32" t="str">
        <f>HLOOKUP($J8,LOCATION!$A$2:$M$3,2,0)</f>
        <v>USA</v>
      </c>
      <c r="L8" s="4" t="str">
        <f>_xlfn.XLOOKUP($J8,LOCATION!B$2:M$2,LOCATION!B$1:M$1,,0)</f>
        <v>English</v>
      </c>
      <c r="M8" s="4" t="str">
        <f>IF($L8="English",LOWER(_xlfn.CONCAT(SPORTSMEN!$F8,".",SPORTSMEN!$D8,"@xyz.org")),LOWER(_xlfn.CONCAT(SPORTSMEN!$F8,".",SPORTSMEN!D8,"@xyz.com")))</f>
        <v>eichmann.amiya@xyz.org</v>
      </c>
      <c r="N8" s="35">
        <v>61.1</v>
      </c>
      <c r="O8" s="2" t="s">
        <v>214</v>
      </c>
      <c r="P8" s="2" t="s">
        <v>215</v>
      </c>
      <c r="Q8" s="3" t="str">
        <f>_xlfn.XLOOKUP(SPORTSMEN!$R8,SPORT!$B$2:$B$33,SPORT!$A$2:$A$33,,0)</f>
        <v>OUTDOOR</v>
      </c>
      <c r="R8" s="2" t="s">
        <v>181</v>
      </c>
      <c r="S8" s="38">
        <v>65465</v>
      </c>
    </row>
    <row r="9" spans="1:19" x14ac:dyDescent="0.3">
      <c r="A9" s="33">
        <v>8</v>
      </c>
      <c r="B9" s="3" t="str">
        <f t="shared" si="0"/>
        <v>Mr. Pierce Rau</v>
      </c>
      <c r="C9" s="2" t="s">
        <v>24</v>
      </c>
      <c r="D9" s="2" t="s">
        <v>31</v>
      </c>
      <c r="E9" s="2"/>
      <c r="F9" s="2" t="s">
        <v>32</v>
      </c>
      <c r="G9" s="34">
        <v>23141</v>
      </c>
      <c r="H9" s="2" t="s">
        <v>20</v>
      </c>
      <c r="I9" s="2" t="s">
        <v>142</v>
      </c>
      <c r="J9" s="4" t="s">
        <v>141</v>
      </c>
      <c r="K9" s="32" t="str">
        <f>HLOOKUP($J9,LOCATION!$A$2:$M$3,2,0)</f>
        <v>USA</v>
      </c>
      <c r="L9" s="4" t="str">
        <f>_xlfn.XLOOKUP($J9,LOCATION!B$2:M$2,LOCATION!B$1:M$1,,0)</f>
        <v>English</v>
      </c>
      <c r="M9" s="4" t="str">
        <f>IF($L9="English",LOWER(_xlfn.CONCAT(SPORTSMEN!$F9,".",SPORTSMEN!$D9,"@xyz.org")),LOWER(_xlfn.CONCAT(SPORTSMEN!$F9,".",SPORTSMEN!D9,"@xyz.com")))</f>
        <v>rau.pierce@xyz.org</v>
      </c>
      <c r="N9" s="35">
        <v>105.7</v>
      </c>
      <c r="O9" s="2" t="s">
        <v>213</v>
      </c>
      <c r="P9" s="2" t="s">
        <v>216</v>
      </c>
      <c r="Q9" s="3" t="str">
        <f>_xlfn.XLOOKUP(SPORTSMEN!$R9,SPORT!$B$2:$B$33,SPORT!$A$2:$A$33,,0)</f>
        <v>INDOOR</v>
      </c>
      <c r="R9" s="2" t="s">
        <v>182</v>
      </c>
      <c r="S9" s="38">
        <v>109885</v>
      </c>
    </row>
    <row r="10" spans="1:19" x14ac:dyDescent="0.3">
      <c r="A10" s="33">
        <v>9</v>
      </c>
      <c r="B10" s="3" t="str">
        <f t="shared" si="0"/>
        <v>Ms. Amelia Stevens</v>
      </c>
      <c r="C10" s="2" t="s">
        <v>6</v>
      </c>
      <c r="D10" s="2" t="s">
        <v>33</v>
      </c>
      <c r="E10" s="2"/>
      <c r="F10" s="2" t="s">
        <v>34</v>
      </c>
      <c r="G10" s="34">
        <v>25965</v>
      </c>
      <c r="H10" s="2" t="s">
        <v>12</v>
      </c>
      <c r="I10" s="2" t="s">
        <v>138</v>
      </c>
      <c r="J10" s="4" t="s">
        <v>147</v>
      </c>
      <c r="K10" s="32" t="str">
        <f>HLOOKUP($J10,LOCATION!$A$2:$M$3,2,0)</f>
        <v>UK</v>
      </c>
      <c r="L10" s="4" t="str">
        <f>_xlfn.XLOOKUP($J10,LOCATION!B$2:M$2,LOCATION!B$1:M$1,,0)</f>
        <v>English</v>
      </c>
      <c r="M10" s="4" t="str">
        <f>IF($L10="English",LOWER(_xlfn.CONCAT(SPORTSMEN!$F10,".",SPORTSMEN!$D10,"@xyz.org")),LOWER(_xlfn.CONCAT(SPORTSMEN!$F10,".",SPORTSMEN!D10,"@xyz.com")))</f>
        <v>stevens.amelia@xyz.org</v>
      </c>
      <c r="N10" s="35">
        <v>65.3</v>
      </c>
      <c r="O10" s="2" t="s">
        <v>214</v>
      </c>
      <c r="P10" s="2" t="s">
        <v>216</v>
      </c>
      <c r="Q10" s="3" t="str">
        <f>_xlfn.XLOOKUP(SPORTSMEN!$R10,SPORT!$B$2:$B$33,SPORT!$A$2:$A$33,,0)</f>
        <v>INDOOR</v>
      </c>
      <c r="R10" s="2" t="s">
        <v>183</v>
      </c>
      <c r="S10" s="38">
        <v>60061</v>
      </c>
    </row>
    <row r="11" spans="1:19" x14ac:dyDescent="0.3">
      <c r="A11" s="33">
        <v>10</v>
      </c>
      <c r="B11" s="3" t="str">
        <f t="shared" si="0"/>
        <v>Mr. Toby Simpson</v>
      </c>
      <c r="C11" s="2" t="s">
        <v>24</v>
      </c>
      <c r="D11" s="2" t="s">
        <v>35</v>
      </c>
      <c r="E11" s="2"/>
      <c r="F11" s="2" t="s">
        <v>36</v>
      </c>
      <c r="G11" s="34">
        <v>23732</v>
      </c>
      <c r="H11" s="2" t="s">
        <v>27</v>
      </c>
      <c r="I11" s="2" t="s">
        <v>142</v>
      </c>
      <c r="J11" s="4" t="s">
        <v>147</v>
      </c>
      <c r="K11" s="32" t="str">
        <f>HLOOKUP($J11,LOCATION!$A$2:$M$3,2,0)</f>
        <v>UK</v>
      </c>
      <c r="L11" s="4" t="str">
        <f>_xlfn.XLOOKUP($J11,LOCATION!B$2:M$2,LOCATION!B$1:M$1,,0)</f>
        <v>English</v>
      </c>
      <c r="M11" s="4" t="str">
        <f>IF($L11="English",LOWER(_xlfn.CONCAT(SPORTSMEN!$F11,".",SPORTSMEN!$D11,"@xyz.org")),LOWER(_xlfn.CONCAT(SPORTSMEN!$F11,".",SPORTSMEN!D11,"@xyz.com")))</f>
        <v>simpson.toby@xyz.org</v>
      </c>
      <c r="N11" s="35">
        <v>62.9</v>
      </c>
      <c r="O11" s="2" t="s">
        <v>213</v>
      </c>
      <c r="P11" s="2" t="s">
        <v>217</v>
      </c>
      <c r="Q11" s="3" t="str">
        <f>_xlfn.XLOOKUP(SPORTSMEN!$R11,SPORT!$B$2:$B$33,SPORT!$A$2:$A$33,,0)</f>
        <v>OUTDOOR</v>
      </c>
      <c r="R11" s="2" t="s">
        <v>181</v>
      </c>
      <c r="S11" s="38">
        <v>32758</v>
      </c>
    </row>
    <row r="12" spans="1:19" x14ac:dyDescent="0.3">
      <c r="A12" s="33">
        <v>11</v>
      </c>
      <c r="B12" s="3" t="str">
        <f t="shared" si="0"/>
        <v>Sir Ethan Murphy</v>
      </c>
      <c r="C12" s="2" t="s">
        <v>37</v>
      </c>
      <c r="D12" s="2" t="s">
        <v>38</v>
      </c>
      <c r="E12" s="2"/>
      <c r="F12" s="2" t="s">
        <v>39</v>
      </c>
      <c r="G12" s="34">
        <v>31733</v>
      </c>
      <c r="H12" s="2" t="s">
        <v>40</v>
      </c>
      <c r="I12" s="2" t="s">
        <v>142</v>
      </c>
      <c r="J12" s="4" t="s">
        <v>147</v>
      </c>
      <c r="K12" s="32" t="str">
        <f>HLOOKUP($J12,LOCATION!$A$2:$M$3,2,0)</f>
        <v>UK</v>
      </c>
      <c r="L12" s="4" t="str">
        <f>_xlfn.XLOOKUP($J12,LOCATION!B$2:M$2,LOCATION!B$1:M$1,,0)</f>
        <v>English</v>
      </c>
      <c r="M12" s="4" t="str">
        <f>IF($L12="English",LOWER(_xlfn.CONCAT(SPORTSMEN!$F12,".",SPORTSMEN!$D12,"@xyz.org")),LOWER(_xlfn.CONCAT(SPORTSMEN!$F12,".",SPORTSMEN!D12,"@xyz.com")))</f>
        <v>murphy.ethan@xyz.org</v>
      </c>
      <c r="N12" s="35">
        <v>104.3</v>
      </c>
      <c r="O12" s="2" t="s">
        <v>211</v>
      </c>
      <c r="P12" s="2" t="s">
        <v>217</v>
      </c>
      <c r="Q12" s="3" t="str">
        <f>_xlfn.XLOOKUP(SPORTSMEN!$R12,SPORT!$B$2:$B$33,SPORT!$A$2:$A$33,,0)</f>
        <v>OUTDOOR</v>
      </c>
      <c r="R12" s="2" t="s">
        <v>184</v>
      </c>
      <c r="S12" s="38">
        <v>99613</v>
      </c>
    </row>
    <row r="13" spans="1:19" x14ac:dyDescent="0.3">
      <c r="A13" s="33">
        <v>12</v>
      </c>
      <c r="B13" s="3" t="str">
        <f t="shared" si="0"/>
        <v>Mrs. Ashley Wood</v>
      </c>
      <c r="C13" s="2" t="s">
        <v>41</v>
      </c>
      <c r="D13" s="2" t="s">
        <v>42</v>
      </c>
      <c r="E13" s="2"/>
      <c r="F13" s="2" t="s">
        <v>43</v>
      </c>
      <c r="G13" s="34">
        <v>28412</v>
      </c>
      <c r="H13" s="2" t="s">
        <v>9</v>
      </c>
      <c r="I13" s="2" t="s">
        <v>138</v>
      </c>
      <c r="J13" s="4" t="s">
        <v>147</v>
      </c>
      <c r="K13" s="32" t="str">
        <f>HLOOKUP($J13,LOCATION!$A$2:$M$3,2,0)</f>
        <v>UK</v>
      </c>
      <c r="L13" s="4" t="str">
        <f>_xlfn.XLOOKUP($J13,LOCATION!B$2:M$2,LOCATION!B$1:M$1,,0)</f>
        <v>English</v>
      </c>
      <c r="M13" s="4" t="str">
        <f>IF($L13="English",LOWER(_xlfn.CONCAT(SPORTSMEN!$F13,".",SPORTSMEN!$D13,"@xyz.org")),LOWER(_xlfn.CONCAT(SPORTSMEN!$F13,".",SPORTSMEN!D13,"@xyz.com")))</f>
        <v>wood.ashley@xyz.org</v>
      </c>
      <c r="N13" s="35">
        <v>100.7</v>
      </c>
      <c r="O13" s="2" t="s">
        <v>211</v>
      </c>
      <c r="P13" s="2" t="s">
        <v>217</v>
      </c>
      <c r="Q13" s="3" t="str">
        <f>_xlfn.XLOOKUP(SPORTSMEN!$R13,SPORT!$B$2:$B$33,SPORT!$A$2:$A$33,,0)</f>
        <v>OUTDOOR</v>
      </c>
      <c r="R13" s="2" t="s">
        <v>185</v>
      </c>
      <c r="S13" s="38">
        <v>56595</v>
      </c>
    </row>
    <row r="14" spans="1:19" x14ac:dyDescent="0.3">
      <c r="A14" s="33">
        <v>13</v>
      </c>
      <c r="B14" s="3" t="str">
        <f t="shared" si="0"/>
        <v>Ms. Megan Scott</v>
      </c>
      <c r="C14" s="2" t="s">
        <v>6</v>
      </c>
      <c r="D14" s="2" t="s">
        <v>44</v>
      </c>
      <c r="E14" s="2"/>
      <c r="F14" s="2" t="s">
        <v>45</v>
      </c>
      <c r="G14" s="34">
        <v>28168</v>
      </c>
      <c r="H14" s="2" t="s">
        <v>12</v>
      </c>
      <c r="I14" s="2" t="s">
        <v>138</v>
      </c>
      <c r="J14" s="4" t="s">
        <v>147</v>
      </c>
      <c r="K14" s="32" t="str">
        <f>HLOOKUP($J14,LOCATION!$A$2:$M$3,2,0)</f>
        <v>UK</v>
      </c>
      <c r="L14" s="4" t="str">
        <f>_xlfn.XLOOKUP($J14,LOCATION!B$2:M$2,LOCATION!B$1:M$1,,0)</f>
        <v>English</v>
      </c>
      <c r="M14" s="4" t="str">
        <f>IF($L14="English",LOWER(_xlfn.CONCAT(SPORTSMEN!$F14,".",SPORTSMEN!$D14,"@xyz.org")),LOWER(_xlfn.CONCAT(SPORTSMEN!$F14,".",SPORTSMEN!D14,"@xyz.com")))</f>
        <v>scott.megan@xyz.org</v>
      </c>
      <c r="N14" s="35">
        <v>70.900000000000006</v>
      </c>
      <c r="O14" s="2" t="s">
        <v>209</v>
      </c>
      <c r="P14" s="2" t="s">
        <v>210</v>
      </c>
      <c r="Q14" s="3" t="str">
        <f>_xlfn.XLOOKUP(SPORTSMEN!$R14,SPORT!$B$2:$B$33,SPORT!$A$2:$A$33,,0)</f>
        <v>OUTDOOR</v>
      </c>
      <c r="R14" s="2" t="s">
        <v>186</v>
      </c>
      <c r="S14" s="38">
        <v>117408</v>
      </c>
    </row>
    <row r="15" spans="1:19" x14ac:dyDescent="0.3">
      <c r="A15" s="33">
        <v>14</v>
      </c>
      <c r="B15" s="3" t="str">
        <f t="shared" si="0"/>
        <v>Hr. Helmut Weinhae</v>
      </c>
      <c r="C15" s="2" t="s">
        <v>46</v>
      </c>
      <c r="D15" s="2" t="s">
        <v>47</v>
      </c>
      <c r="E15" s="2"/>
      <c r="F15" s="2" t="s">
        <v>48</v>
      </c>
      <c r="G15" s="34">
        <v>21788</v>
      </c>
      <c r="H15" s="2" t="s">
        <v>49</v>
      </c>
      <c r="I15" s="2" t="s">
        <v>142</v>
      </c>
      <c r="J15" s="4" t="s">
        <v>150</v>
      </c>
      <c r="K15" s="32" t="str">
        <f>HLOOKUP($J15,LOCATION!$A$2:$M$3,2,0)</f>
        <v>GERMANY</v>
      </c>
      <c r="L15" s="4" t="str">
        <f>_xlfn.XLOOKUP($J15,LOCATION!B$2:M$2,LOCATION!B$1:M$1,,0)</f>
        <v>German</v>
      </c>
      <c r="M15" s="4" t="str">
        <f>IF($L15="English",LOWER(_xlfn.CONCAT(SPORTSMEN!$F15,".",SPORTSMEN!$D15,"@xyz.org")),LOWER(_xlfn.CONCAT(SPORTSMEN!$F15,".",SPORTSMEN!D15,"@xyz.com")))</f>
        <v>weinhae.helmut@xyz.com</v>
      </c>
      <c r="N15" s="35">
        <v>68.3</v>
      </c>
      <c r="O15" s="2" t="s">
        <v>218</v>
      </c>
      <c r="P15" s="2" t="s">
        <v>216</v>
      </c>
      <c r="Q15" s="3" t="str">
        <f>_xlfn.XLOOKUP(SPORTSMEN!$R15,SPORT!$B$2:$B$33,SPORT!$A$2:$A$33,,0)</f>
        <v>OUTDOOR</v>
      </c>
      <c r="R15" s="2" t="s">
        <v>187</v>
      </c>
      <c r="S15" s="38">
        <v>64862</v>
      </c>
    </row>
    <row r="16" spans="1:19" x14ac:dyDescent="0.3">
      <c r="A16" s="33">
        <v>15</v>
      </c>
      <c r="B16" s="3" t="str">
        <f t="shared" si="0"/>
        <v>Prof. Milena Schotin</v>
      </c>
      <c r="C16" s="2" t="s">
        <v>50</v>
      </c>
      <c r="D16" s="2" t="s">
        <v>51</v>
      </c>
      <c r="E16" s="2"/>
      <c r="F16" s="2" t="s">
        <v>52</v>
      </c>
      <c r="G16" s="34">
        <v>23804</v>
      </c>
      <c r="H16" s="2" t="s">
        <v>53</v>
      </c>
      <c r="I16" s="2" t="s">
        <v>138</v>
      </c>
      <c r="J16" s="4" t="s">
        <v>150</v>
      </c>
      <c r="K16" s="32" t="str">
        <f>HLOOKUP($J16,LOCATION!$A$2:$M$3,2,0)</f>
        <v>GERMANY</v>
      </c>
      <c r="L16" s="4" t="str">
        <f>_xlfn.XLOOKUP($J16,LOCATION!B$2:M$2,LOCATION!B$1:M$1,,0)</f>
        <v>German</v>
      </c>
      <c r="M16" s="4" t="str">
        <f>IF($L16="English",LOWER(_xlfn.CONCAT(SPORTSMEN!$F16,".",SPORTSMEN!$D16,"@xyz.org")),LOWER(_xlfn.CONCAT(SPORTSMEN!$F16,".",SPORTSMEN!D16,"@xyz.com")))</f>
        <v>schotin.milena@xyz.com</v>
      </c>
      <c r="N16" s="35">
        <v>105.3</v>
      </c>
      <c r="O16" s="2" t="s">
        <v>218</v>
      </c>
      <c r="P16" s="2" t="s">
        <v>217</v>
      </c>
      <c r="Q16" s="3" t="str">
        <f>_xlfn.XLOOKUP(SPORTSMEN!$R16,SPORT!$B$2:$B$33,SPORT!$A$2:$A$33,,0)</f>
        <v>INDOOR</v>
      </c>
      <c r="R16" s="2" t="s">
        <v>188</v>
      </c>
      <c r="S16" s="38">
        <v>10241</v>
      </c>
    </row>
    <row r="17" spans="1:19" x14ac:dyDescent="0.3">
      <c r="A17" s="33">
        <v>16</v>
      </c>
      <c r="B17" s="3" t="str">
        <f t="shared" si="0"/>
        <v>Hr. Lothar Birnbaum</v>
      </c>
      <c r="C17" s="2" t="s">
        <v>46</v>
      </c>
      <c r="D17" s="2" t="s">
        <v>54</v>
      </c>
      <c r="E17" s="2"/>
      <c r="F17" s="2" t="s">
        <v>55</v>
      </c>
      <c r="G17" s="34">
        <v>25405</v>
      </c>
      <c r="H17" s="2" t="s">
        <v>17</v>
      </c>
      <c r="I17" s="2" t="s">
        <v>142</v>
      </c>
      <c r="J17" s="4" t="s">
        <v>150</v>
      </c>
      <c r="K17" s="32" t="str">
        <f>HLOOKUP($J17,LOCATION!$A$2:$M$3,2,0)</f>
        <v>GERMANY</v>
      </c>
      <c r="L17" s="4" t="str">
        <f>_xlfn.XLOOKUP($J17,LOCATION!B$2:M$2,LOCATION!B$1:M$1,,0)</f>
        <v>German</v>
      </c>
      <c r="M17" s="4" t="str">
        <f>IF($L17="English",LOWER(_xlfn.CONCAT(SPORTSMEN!$F17,".",SPORTSMEN!$D17,"@xyz.org")),LOWER(_xlfn.CONCAT(SPORTSMEN!$F17,".",SPORTSMEN!D17,"@xyz.com")))</f>
        <v>birnbaum.lothar@xyz.com</v>
      </c>
      <c r="N17" s="35">
        <v>48.6</v>
      </c>
      <c r="O17" s="2" t="s">
        <v>214</v>
      </c>
      <c r="P17" s="2" t="s">
        <v>217</v>
      </c>
      <c r="Q17" s="3" t="str">
        <f>_xlfn.XLOOKUP(SPORTSMEN!$R17,SPORT!$B$2:$B$33,SPORT!$A$2:$A$33,,0)</f>
        <v>OUTDOOR</v>
      </c>
      <c r="R17" s="2" t="s">
        <v>178</v>
      </c>
      <c r="S17" s="38">
        <v>88762</v>
      </c>
    </row>
    <row r="18" spans="1:19" x14ac:dyDescent="0.3">
      <c r="A18" s="33">
        <v>17</v>
      </c>
      <c r="B18" s="3" t="str">
        <f t="shared" si="0"/>
        <v>Hr. Pietro Stolze</v>
      </c>
      <c r="C18" s="2" t="s">
        <v>46</v>
      </c>
      <c r="D18" s="2" t="s">
        <v>56</v>
      </c>
      <c r="E18" s="2"/>
      <c r="F18" s="2" t="s">
        <v>57</v>
      </c>
      <c r="G18" s="34">
        <v>26582</v>
      </c>
      <c r="H18" s="2" t="s">
        <v>9</v>
      </c>
      <c r="I18" s="2" t="s">
        <v>142</v>
      </c>
      <c r="J18" s="4" t="s">
        <v>150</v>
      </c>
      <c r="K18" s="32" t="str">
        <f>HLOOKUP($J18,LOCATION!$A$2:$M$3,2,0)</f>
        <v>GERMANY</v>
      </c>
      <c r="L18" s="4" t="str">
        <f>_xlfn.XLOOKUP($J18,LOCATION!B$2:M$2,LOCATION!B$1:M$1,,0)</f>
        <v>German</v>
      </c>
      <c r="M18" s="4" t="str">
        <f>IF($L18="English",LOWER(_xlfn.CONCAT(SPORTSMEN!$F18,".",SPORTSMEN!$D18,"@xyz.org")),LOWER(_xlfn.CONCAT(SPORTSMEN!$F18,".",SPORTSMEN!D18,"@xyz.com")))</f>
        <v>stolze.pietro@xyz.com</v>
      </c>
      <c r="N18" s="35">
        <v>105.9</v>
      </c>
      <c r="O18" s="2" t="s">
        <v>214</v>
      </c>
      <c r="P18" s="2" t="s">
        <v>210</v>
      </c>
      <c r="Q18" s="3" t="str">
        <f>_xlfn.XLOOKUP(SPORTSMEN!$R18,SPORT!$B$2:$B$33,SPORT!$A$2:$A$33,,0)</f>
        <v>INDOOR</v>
      </c>
      <c r="R18" s="2" t="s">
        <v>189</v>
      </c>
      <c r="S18" s="38">
        <v>80757</v>
      </c>
    </row>
    <row r="19" spans="1:19" x14ac:dyDescent="0.3">
      <c r="A19" s="33">
        <v>18</v>
      </c>
      <c r="B19" s="3" t="str">
        <f t="shared" si="0"/>
        <v>Hr. Richard  Tlustek</v>
      </c>
      <c r="C19" s="2" t="s">
        <v>46</v>
      </c>
      <c r="D19" s="2" t="s">
        <v>58</v>
      </c>
      <c r="E19" s="2"/>
      <c r="F19" s="2" t="s">
        <v>59</v>
      </c>
      <c r="G19" s="34">
        <v>21793</v>
      </c>
      <c r="H19" s="2" t="s">
        <v>49</v>
      </c>
      <c r="I19" s="2" t="s">
        <v>142</v>
      </c>
      <c r="J19" s="4" t="s">
        <v>150</v>
      </c>
      <c r="K19" s="32" t="str">
        <f>HLOOKUP($J19,LOCATION!$A$2:$M$3,2,0)</f>
        <v>GERMANY</v>
      </c>
      <c r="L19" s="4" t="str">
        <f>_xlfn.XLOOKUP($J19,LOCATION!B$2:M$2,LOCATION!B$1:M$1,,0)</f>
        <v>German</v>
      </c>
      <c r="M19" s="4" t="str">
        <f>IF($L19="English",LOWER(_xlfn.CONCAT(SPORTSMEN!$F19,".",SPORTSMEN!$D19,"@xyz.org")),LOWER(_xlfn.CONCAT(SPORTSMEN!$F19,".",SPORTSMEN!D19,"@xyz.com")))</f>
        <v>tlustek.richard @xyz.com</v>
      </c>
      <c r="N19" s="35">
        <v>71.099999999999994</v>
      </c>
      <c r="O19" s="2" t="s">
        <v>214</v>
      </c>
      <c r="P19" s="2" t="s">
        <v>210</v>
      </c>
      <c r="Q19" s="3" t="str">
        <f>_xlfn.XLOOKUP(SPORTSMEN!$R19,SPORT!$B$2:$B$33,SPORT!$A$2:$A$33,,0)</f>
        <v>OUTDOOR</v>
      </c>
      <c r="R19" s="2" t="s">
        <v>190</v>
      </c>
      <c r="S19" s="38">
        <v>88794</v>
      </c>
    </row>
    <row r="20" spans="1:19" x14ac:dyDescent="0.3">
      <c r="A20" s="33">
        <v>19</v>
      </c>
      <c r="B20" s="3" t="str">
        <f t="shared" si="0"/>
        <v>Dr. Earnestine Raynor</v>
      </c>
      <c r="C20" s="2" t="s">
        <v>21</v>
      </c>
      <c r="D20" s="2" t="s">
        <v>60</v>
      </c>
      <c r="E20" s="2"/>
      <c r="F20" s="2" t="s">
        <v>61</v>
      </c>
      <c r="G20" s="34">
        <v>28262</v>
      </c>
      <c r="H20" s="2" t="s">
        <v>20</v>
      </c>
      <c r="I20" s="2" t="s">
        <v>138</v>
      </c>
      <c r="J20" s="4" t="s">
        <v>152</v>
      </c>
      <c r="K20" s="32" t="str">
        <f>HLOOKUP($J20,LOCATION!$A$2:$M$3,2,0)</f>
        <v>AUSTRALIA</v>
      </c>
      <c r="L20" s="4" t="str">
        <f>_xlfn.XLOOKUP($J20,LOCATION!B$2:M$2,LOCATION!B$1:M$1,,0)</f>
        <v>English</v>
      </c>
      <c r="M20" s="4" t="str">
        <f>IF($L20="English",LOWER(_xlfn.CONCAT(SPORTSMEN!$F20,".",SPORTSMEN!$D20,"@xyz.org")),LOWER(_xlfn.CONCAT(SPORTSMEN!$F20,".",SPORTSMEN!D20,"@xyz.com")))</f>
        <v>raynor.earnestine@xyz.org</v>
      </c>
      <c r="N20" s="35">
        <v>70.3</v>
      </c>
      <c r="O20" s="2" t="s">
        <v>214</v>
      </c>
      <c r="P20" s="2" t="s">
        <v>216</v>
      </c>
      <c r="Q20" s="3" t="str">
        <f>_xlfn.XLOOKUP(SPORTSMEN!$R20,SPORT!$B$2:$B$33,SPORT!$A$2:$A$33,,0)</f>
        <v>INDOOR</v>
      </c>
      <c r="R20" s="2" t="s">
        <v>191</v>
      </c>
      <c r="S20" s="38">
        <v>63526</v>
      </c>
    </row>
    <row r="21" spans="1:19" x14ac:dyDescent="0.3">
      <c r="A21" s="33">
        <v>20</v>
      </c>
      <c r="B21" s="3" t="str">
        <f t="shared" si="0"/>
        <v>Mr. Jason Gaylord</v>
      </c>
      <c r="C21" s="2" t="s">
        <v>24</v>
      </c>
      <c r="D21" s="2" t="s">
        <v>62</v>
      </c>
      <c r="E21" s="2"/>
      <c r="F21" s="2" t="s">
        <v>63</v>
      </c>
      <c r="G21" s="34">
        <v>27767</v>
      </c>
      <c r="H21" s="2" t="s">
        <v>64</v>
      </c>
      <c r="I21" s="2" t="s">
        <v>142</v>
      </c>
      <c r="J21" s="4" t="s">
        <v>152</v>
      </c>
      <c r="K21" s="32" t="str">
        <f>HLOOKUP($J21,LOCATION!$A$2:$M$3,2,0)</f>
        <v>AUSTRALIA</v>
      </c>
      <c r="L21" s="4" t="str">
        <f>_xlfn.XLOOKUP($J21,LOCATION!B$2:M$2,LOCATION!B$1:M$1,,0)</f>
        <v>English</v>
      </c>
      <c r="M21" s="4" t="str">
        <f>IF($L21="English",LOWER(_xlfn.CONCAT(SPORTSMEN!$F21,".",SPORTSMEN!$D21,"@xyz.org")),LOWER(_xlfn.CONCAT(SPORTSMEN!$F21,".",SPORTSMEN!D21,"@xyz.com")))</f>
        <v>gaylord.jason@xyz.org</v>
      </c>
      <c r="N21" s="35">
        <v>54.7</v>
      </c>
      <c r="O21" s="2" t="s">
        <v>211</v>
      </c>
      <c r="P21" s="2" t="s">
        <v>212</v>
      </c>
      <c r="Q21" s="3" t="str">
        <f>_xlfn.XLOOKUP(SPORTSMEN!$R21,SPORT!$B$2:$B$33,SPORT!$A$2:$A$33,,0)</f>
        <v>INDOOR</v>
      </c>
      <c r="R21" s="2" t="s">
        <v>192</v>
      </c>
      <c r="S21" s="38">
        <v>46352</v>
      </c>
    </row>
    <row r="22" spans="1:19" x14ac:dyDescent="0.3">
      <c r="A22" s="33">
        <v>21</v>
      </c>
      <c r="B22" s="3" t="str">
        <f t="shared" si="0"/>
        <v>Mr. Kendrick Sauer</v>
      </c>
      <c r="C22" s="2" t="s">
        <v>24</v>
      </c>
      <c r="D22" s="2" t="s">
        <v>65</v>
      </c>
      <c r="E22" s="2"/>
      <c r="F22" s="2" t="s">
        <v>66</v>
      </c>
      <c r="G22" s="34">
        <v>35268</v>
      </c>
      <c r="H22" s="2" t="s">
        <v>17</v>
      </c>
      <c r="I22" s="2" t="s">
        <v>142</v>
      </c>
      <c r="J22" s="4" t="s">
        <v>152</v>
      </c>
      <c r="K22" s="32" t="str">
        <f>HLOOKUP($J22,LOCATION!$A$2:$M$3,2,0)</f>
        <v>AUSTRALIA</v>
      </c>
      <c r="L22" s="4" t="str">
        <f>_xlfn.XLOOKUP($J22,LOCATION!B$2:M$2,LOCATION!B$1:M$1,,0)</f>
        <v>English</v>
      </c>
      <c r="M22" s="4" t="str">
        <f>IF($L22="English",LOWER(_xlfn.CONCAT(SPORTSMEN!$F22,".",SPORTSMEN!$D22,"@xyz.org")),LOWER(_xlfn.CONCAT(SPORTSMEN!$F22,".",SPORTSMEN!D22,"@xyz.com")))</f>
        <v>sauer.kendrick@xyz.org</v>
      </c>
      <c r="N22" s="35">
        <v>100.9</v>
      </c>
      <c r="O22" s="2" t="s">
        <v>214</v>
      </c>
      <c r="P22" s="2" t="s">
        <v>215</v>
      </c>
      <c r="Q22" s="3" t="str">
        <f>_xlfn.XLOOKUP(SPORTSMEN!$R22,SPORT!$B$2:$B$33,SPORT!$A$2:$A$33,,0)</f>
        <v>OUTDOOR</v>
      </c>
      <c r="R22" s="2" t="s">
        <v>193</v>
      </c>
      <c r="S22" s="38">
        <v>106808</v>
      </c>
    </row>
    <row r="23" spans="1:19" x14ac:dyDescent="0.3">
      <c r="A23" s="33">
        <v>22</v>
      </c>
      <c r="B23" s="3" t="str">
        <f t="shared" si="0"/>
        <v>Dr. Annabell Olson</v>
      </c>
      <c r="C23" s="2" t="s">
        <v>21</v>
      </c>
      <c r="D23" s="2" t="s">
        <v>67</v>
      </c>
      <c r="E23" s="2"/>
      <c r="F23" s="2" t="s">
        <v>68</v>
      </c>
      <c r="G23" s="34">
        <v>23483</v>
      </c>
      <c r="H23" s="2" t="s">
        <v>69</v>
      </c>
      <c r="I23" s="2" t="s">
        <v>138</v>
      </c>
      <c r="J23" s="4" t="s">
        <v>152</v>
      </c>
      <c r="K23" s="32" t="str">
        <f>HLOOKUP($J23,LOCATION!$A$2:$M$3,2,0)</f>
        <v>AUSTRALIA</v>
      </c>
      <c r="L23" s="4" t="str">
        <f>_xlfn.XLOOKUP($J23,LOCATION!B$2:M$2,LOCATION!B$1:M$1,,0)</f>
        <v>English</v>
      </c>
      <c r="M23" s="4" t="str">
        <f>IF($L23="English",LOWER(_xlfn.CONCAT(SPORTSMEN!$F23,".",SPORTSMEN!$D23,"@xyz.org")),LOWER(_xlfn.CONCAT(SPORTSMEN!$F23,".",SPORTSMEN!D23,"@xyz.com")))</f>
        <v>olson.annabell@xyz.org</v>
      </c>
      <c r="N23" s="35">
        <v>84.3</v>
      </c>
      <c r="O23" s="2" t="s">
        <v>209</v>
      </c>
      <c r="P23" s="2" t="s">
        <v>216</v>
      </c>
      <c r="Q23" s="3" t="str">
        <f>_xlfn.XLOOKUP(SPORTSMEN!$R23,SPORT!$B$2:$B$33,SPORT!$A$2:$A$33,,0)</f>
        <v>OUTDOOR</v>
      </c>
      <c r="R23" s="2" t="s">
        <v>194</v>
      </c>
      <c r="S23" s="38">
        <v>96468</v>
      </c>
    </row>
    <row r="24" spans="1:19" x14ac:dyDescent="0.3">
      <c r="A24" s="33">
        <v>23</v>
      </c>
      <c r="B24" s="3" t="str">
        <f t="shared" si="0"/>
        <v>Dr. Jena Upton</v>
      </c>
      <c r="C24" s="2" t="s">
        <v>21</v>
      </c>
      <c r="D24" s="2" t="s">
        <v>70</v>
      </c>
      <c r="E24" s="2"/>
      <c r="F24" s="2" t="s">
        <v>71</v>
      </c>
      <c r="G24" s="34">
        <v>20437</v>
      </c>
      <c r="H24" s="2" t="s">
        <v>27</v>
      </c>
      <c r="I24" s="2" t="s">
        <v>138</v>
      </c>
      <c r="J24" s="4" t="s">
        <v>152</v>
      </c>
      <c r="K24" s="32" t="str">
        <f>HLOOKUP($J24,LOCATION!$A$2:$M$3,2,0)</f>
        <v>AUSTRALIA</v>
      </c>
      <c r="L24" s="4" t="str">
        <f>_xlfn.XLOOKUP($J24,LOCATION!B$2:M$2,LOCATION!B$1:M$1,,0)</f>
        <v>English</v>
      </c>
      <c r="M24" s="4" t="str">
        <f>IF($L24="English",LOWER(_xlfn.CONCAT(SPORTSMEN!$F24,".",SPORTSMEN!$D24,"@xyz.org")),LOWER(_xlfn.CONCAT(SPORTSMEN!$F24,".",SPORTSMEN!D24,"@xyz.com")))</f>
        <v>upton.jena@xyz.org</v>
      </c>
      <c r="N24" s="35">
        <v>66.8</v>
      </c>
      <c r="O24" s="2" t="s">
        <v>214</v>
      </c>
      <c r="P24" s="2" t="s">
        <v>217</v>
      </c>
      <c r="Q24" s="3" t="str">
        <f>_xlfn.XLOOKUP(SPORTSMEN!$R24,SPORT!$B$2:$B$33,SPORT!$A$2:$A$33,,0)</f>
        <v>OUTDOOR</v>
      </c>
      <c r="R24" s="2" t="s">
        <v>195</v>
      </c>
      <c r="S24" s="38">
        <v>16526</v>
      </c>
    </row>
    <row r="25" spans="1:19" x14ac:dyDescent="0.3">
      <c r="A25" s="33">
        <v>24</v>
      </c>
      <c r="B25" s="3" t="str">
        <f t="shared" si="0"/>
        <v>Dr. Shanny Bins</v>
      </c>
      <c r="C25" s="2" t="s">
        <v>21</v>
      </c>
      <c r="D25" s="2" t="s">
        <v>72</v>
      </c>
      <c r="E25" s="2"/>
      <c r="F25" s="2" t="s">
        <v>73</v>
      </c>
      <c r="G25" s="34">
        <v>36400</v>
      </c>
      <c r="H25" s="2" t="s">
        <v>49</v>
      </c>
      <c r="I25" s="2" t="s">
        <v>138</v>
      </c>
      <c r="J25" s="4" t="s">
        <v>152</v>
      </c>
      <c r="K25" s="32" t="str">
        <f>HLOOKUP($J25,LOCATION!$A$2:$M$3,2,0)</f>
        <v>AUSTRALIA</v>
      </c>
      <c r="L25" s="4" t="str">
        <f>_xlfn.XLOOKUP($J25,LOCATION!B$2:M$2,LOCATION!B$1:M$1,,0)</f>
        <v>English</v>
      </c>
      <c r="M25" s="4" t="str">
        <f>IF($L25="English",LOWER(_xlfn.CONCAT(SPORTSMEN!$F25,".",SPORTSMEN!$D25,"@xyz.org")),LOWER(_xlfn.CONCAT(SPORTSMEN!$F25,".",SPORTSMEN!D25,"@xyz.com")))</f>
        <v>bins.shanny@xyz.org</v>
      </c>
      <c r="N25" s="35">
        <v>59.4</v>
      </c>
      <c r="O25" s="2" t="s">
        <v>213</v>
      </c>
      <c r="P25" s="2" t="s">
        <v>215</v>
      </c>
      <c r="Q25" s="3" t="str">
        <f>_xlfn.XLOOKUP(SPORTSMEN!$R25,SPORT!$B$2:$B$33,SPORT!$A$2:$A$33,,0)</f>
        <v>OUTDOOR</v>
      </c>
      <c r="R25" s="2" t="s">
        <v>196</v>
      </c>
      <c r="S25" s="38">
        <v>21891</v>
      </c>
    </row>
    <row r="26" spans="1:19" x14ac:dyDescent="0.3">
      <c r="A26" s="33">
        <v>25</v>
      </c>
      <c r="B26" s="3" t="str">
        <f t="shared" si="0"/>
        <v>Dr. Tia Abshire</v>
      </c>
      <c r="C26" s="2" t="s">
        <v>21</v>
      </c>
      <c r="D26" s="2" t="s">
        <v>74</v>
      </c>
      <c r="E26" s="2"/>
      <c r="F26" s="2" t="s">
        <v>75</v>
      </c>
      <c r="G26" s="34">
        <v>24309</v>
      </c>
      <c r="H26" s="2" t="s">
        <v>17</v>
      </c>
      <c r="I26" s="2" t="s">
        <v>138</v>
      </c>
      <c r="J26" s="4" t="s">
        <v>152</v>
      </c>
      <c r="K26" s="32" t="str">
        <f>HLOOKUP($J26,LOCATION!$A$2:$M$3,2,0)</f>
        <v>AUSTRALIA</v>
      </c>
      <c r="L26" s="4" t="str">
        <f>_xlfn.XLOOKUP($J26,LOCATION!B$2:M$2,LOCATION!B$1:M$1,,0)</f>
        <v>English</v>
      </c>
      <c r="M26" s="4" t="str">
        <f>IF($L26="English",LOWER(_xlfn.CONCAT(SPORTSMEN!$F26,".",SPORTSMEN!$D26,"@xyz.org")),LOWER(_xlfn.CONCAT(SPORTSMEN!$F26,".",SPORTSMEN!D26,"@xyz.com")))</f>
        <v>abshire.tia@xyz.org</v>
      </c>
      <c r="N26" s="35">
        <v>77.8</v>
      </c>
      <c r="O26" s="2" t="s">
        <v>213</v>
      </c>
      <c r="P26" s="2" t="s">
        <v>216</v>
      </c>
      <c r="Q26" s="3" t="str">
        <f>_xlfn.XLOOKUP(SPORTSMEN!$R26,SPORT!$B$2:$B$33,SPORT!$A$2:$A$33,,0)</f>
        <v>OUTDOOR</v>
      </c>
      <c r="R26" s="2" t="s">
        <v>181</v>
      </c>
      <c r="S26" s="38">
        <v>62037</v>
      </c>
    </row>
    <row r="27" spans="1:19" x14ac:dyDescent="0.3">
      <c r="A27" s="33">
        <v>26</v>
      </c>
      <c r="B27" s="3" t="str">
        <f t="shared" si="0"/>
        <v>Ms. Isabel Runolfsdottir</v>
      </c>
      <c r="C27" s="2" t="s">
        <v>6</v>
      </c>
      <c r="D27" s="2" t="s">
        <v>76</v>
      </c>
      <c r="E27" s="2"/>
      <c r="F27" s="2" t="s">
        <v>77</v>
      </c>
      <c r="G27" s="34">
        <v>28570</v>
      </c>
      <c r="H27" s="2" t="s">
        <v>69</v>
      </c>
      <c r="I27" s="2" t="s">
        <v>138</v>
      </c>
      <c r="J27" s="4" t="s">
        <v>152</v>
      </c>
      <c r="K27" s="32" t="str">
        <f>HLOOKUP($J27,LOCATION!$A$2:$M$3,2,0)</f>
        <v>AUSTRALIA</v>
      </c>
      <c r="L27" s="4" t="str">
        <f>_xlfn.XLOOKUP($J27,LOCATION!B$2:M$2,LOCATION!B$1:M$1,,0)</f>
        <v>English</v>
      </c>
      <c r="M27" s="4" t="str">
        <f>IF($L27="English",LOWER(_xlfn.CONCAT(SPORTSMEN!$F27,".",SPORTSMEN!$D27,"@xyz.org")),LOWER(_xlfn.CONCAT(SPORTSMEN!$F27,".",SPORTSMEN!D27,"@xyz.com")))</f>
        <v>runolfsdottir.isabel@xyz.org</v>
      </c>
      <c r="N27" s="35">
        <v>85.9</v>
      </c>
      <c r="O27" s="2" t="s">
        <v>214</v>
      </c>
      <c r="P27" s="2" t="s">
        <v>219</v>
      </c>
      <c r="Q27" s="3" t="str">
        <f>_xlfn.XLOOKUP(SPORTSMEN!$R27,SPORT!$B$2:$B$33,SPORT!$A$2:$A$33,,0)</f>
        <v>INDOOR</v>
      </c>
      <c r="R27" s="2" t="s">
        <v>174</v>
      </c>
      <c r="S27" s="38">
        <v>89737</v>
      </c>
    </row>
    <row r="28" spans="1:19" x14ac:dyDescent="0.3">
      <c r="A28" s="33">
        <v>27</v>
      </c>
      <c r="B28" s="3" t="str">
        <f t="shared" si="0"/>
        <v>Hr. Barney Wesack</v>
      </c>
      <c r="C28" s="2" t="s">
        <v>46</v>
      </c>
      <c r="D28" s="2" t="s">
        <v>78</v>
      </c>
      <c r="E28" s="2"/>
      <c r="F28" s="2" t="s">
        <v>79</v>
      </c>
      <c r="G28" s="34">
        <v>25767</v>
      </c>
      <c r="H28" s="2" t="s">
        <v>17</v>
      </c>
      <c r="I28" s="2" t="s">
        <v>142</v>
      </c>
      <c r="J28" s="4" t="s">
        <v>154</v>
      </c>
      <c r="K28" s="32" t="str">
        <f>HLOOKUP($J28,LOCATION!$A$2:$M$3,2,0)</f>
        <v>AUSTRIA</v>
      </c>
      <c r="L28" s="4" t="str">
        <f>_xlfn.XLOOKUP($J28,LOCATION!B$2:M$2,LOCATION!B$1:M$1,,0)</f>
        <v>German</v>
      </c>
      <c r="M28" s="4" t="str">
        <f>IF($L28="English",LOWER(_xlfn.CONCAT(SPORTSMEN!$F28,".",SPORTSMEN!$D28,"@xyz.org")),LOWER(_xlfn.CONCAT(SPORTSMEN!$F28,".",SPORTSMEN!D28,"@xyz.com")))</f>
        <v>wesack.barney@xyz.com</v>
      </c>
      <c r="N28" s="35">
        <v>93.4</v>
      </c>
      <c r="O28" s="2" t="s">
        <v>213</v>
      </c>
      <c r="P28" s="2" t="s">
        <v>219</v>
      </c>
      <c r="Q28" s="3" t="str">
        <f>_xlfn.XLOOKUP(SPORTSMEN!$R28,SPORT!$B$2:$B$33,SPORT!$A$2:$A$33,,0)</f>
        <v>INDOOR</v>
      </c>
      <c r="R28" s="2" t="s">
        <v>197</v>
      </c>
      <c r="S28" s="38">
        <v>41039</v>
      </c>
    </row>
    <row r="29" spans="1:19" x14ac:dyDescent="0.3">
      <c r="A29" s="33">
        <v>28</v>
      </c>
      <c r="B29" s="3" t="str">
        <f t="shared" si="0"/>
        <v>Hr. Baruch Kade</v>
      </c>
      <c r="C29" s="2" t="s">
        <v>46</v>
      </c>
      <c r="D29" s="2" t="s">
        <v>80</v>
      </c>
      <c r="E29" s="2"/>
      <c r="F29" s="2" t="s">
        <v>81</v>
      </c>
      <c r="G29" s="34">
        <v>30020</v>
      </c>
      <c r="H29" s="2" t="s">
        <v>53</v>
      </c>
      <c r="I29" s="2" t="s">
        <v>142</v>
      </c>
      <c r="J29" s="4" t="s">
        <v>154</v>
      </c>
      <c r="K29" s="32" t="str">
        <f>HLOOKUP($J29,LOCATION!$A$2:$M$3,2,0)</f>
        <v>AUSTRIA</v>
      </c>
      <c r="L29" s="4" t="str">
        <f>_xlfn.XLOOKUP($J29,LOCATION!B$2:M$2,LOCATION!B$1:M$1,,0)</f>
        <v>German</v>
      </c>
      <c r="M29" s="4" t="str">
        <f>IF($L29="English",LOWER(_xlfn.CONCAT(SPORTSMEN!$F29,".",SPORTSMEN!$D29,"@xyz.org")),LOWER(_xlfn.CONCAT(SPORTSMEN!$F29,".",SPORTSMEN!D29,"@xyz.com")))</f>
        <v>kade.baruch@xyz.com</v>
      </c>
      <c r="N29" s="35">
        <v>95.5</v>
      </c>
      <c r="O29" s="2" t="s">
        <v>218</v>
      </c>
      <c r="P29" s="2" t="s">
        <v>212</v>
      </c>
      <c r="Q29" s="3" t="str">
        <f>_xlfn.XLOOKUP(SPORTSMEN!$R29,SPORT!$B$2:$B$33,SPORT!$A$2:$A$33,,0)</f>
        <v>OUTDOOR</v>
      </c>
      <c r="R29" s="2" t="s">
        <v>186</v>
      </c>
      <c r="S29" s="38">
        <v>28458</v>
      </c>
    </row>
    <row r="30" spans="1:19" x14ac:dyDescent="0.3">
      <c r="A30" s="33">
        <v>29</v>
      </c>
      <c r="B30" s="3" t="str">
        <f t="shared" si="0"/>
        <v>Prof. Liesbeth Rosemann</v>
      </c>
      <c r="C30" s="2" t="s">
        <v>50</v>
      </c>
      <c r="D30" s="2" t="s">
        <v>82</v>
      </c>
      <c r="E30" s="2"/>
      <c r="F30" s="2" t="s">
        <v>83</v>
      </c>
      <c r="G30" s="34">
        <v>34361</v>
      </c>
      <c r="H30" s="2" t="s">
        <v>12</v>
      </c>
      <c r="I30" s="2" t="s">
        <v>138</v>
      </c>
      <c r="J30" s="4" t="s">
        <v>154</v>
      </c>
      <c r="K30" s="32" t="str">
        <f>HLOOKUP($J30,LOCATION!$A$2:$M$3,2,0)</f>
        <v>AUSTRIA</v>
      </c>
      <c r="L30" s="4" t="str">
        <f>_xlfn.XLOOKUP($J30,LOCATION!B$2:M$2,LOCATION!B$1:M$1,,0)</f>
        <v>German</v>
      </c>
      <c r="M30" s="4" t="str">
        <f>IF($L30="English",LOWER(_xlfn.CONCAT(SPORTSMEN!$F30,".",SPORTSMEN!$D30,"@xyz.org")),LOWER(_xlfn.CONCAT(SPORTSMEN!$F30,".",SPORTSMEN!D30,"@xyz.com")))</f>
        <v>rosemann.liesbeth@xyz.com</v>
      </c>
      <c r="N30" s="35">
        <v>52.2</v>
      </c>
      <c r="O30" s="2" t="s">
        <v>214</v>
      </c>
      <c r="P30" s="2" t="s">
        <v>217</v>
      </c>
      <c r="Q30" s="3" t="str">
        <f>_xlfn.XLOOKUP(SPORTSMEN!$R30,SPORT!$B$2:$B$33,SPORT!$A$2:$A$33,,0)</f>
        <v>OUTDOOR</v>
      </c>
      <c r="R30" s="2" t="s">
        <v>181</v>
      </c>
      <c r="S30" s="38">
        <v>55007</v>
      </c>
    </row>
    <row r="31" spans="1:19" x14ac:dyDescent="0.3">
      <c r="A31" s="33">
        <v>30</v>
      </c>
      <c r="B31" s="3" t="str">
        <f t="shared" si="0"/>
        <v>Mme. Valentine Moreau</v>
      </c>
      <c r="C31" s="2" t="s">
        <v>84</v>
      </c>
      <c r="D31" s="2" t="s">
        <v>85</v>
      </c>
      <c r="E31" s="2"/>
      <c r="F31" s="2" t="s">
        <v>86</v>
      </c>
      <c r="G31" s="34">
        <v>29137</v>
      </c>
      <c r="H31" s="2" t="s">
        <v>9</v>
      </c>
      <c r="I31" s="2" t="s">
        <v>138</v>
      </c>
      <c r="J31" s="4" t="s">
        <v>157</v>
      </c>
      <c r="K31" s="32" t="str">
        <f>HLOOKUP($J31,LOCATION!$A$2:$M$3,2,0)</f>
        <v>FRANCE</v>
      </c>
      <c r="L31" s="4" t="str">
        <f>_xlfn.XLOOKUP($J31,LOCATION!B$2:M$2,LOCATION!B$1:M$1,,0)</f>
        <v>French</v>
      </c>
      <c r="M31" s="4" t="str">
        <f>IF($L31="English",LOWER(_xlfn.CONCAT(SPORTSMEN!$F31,".",SPORTSMEN!$D31,"@xyz.org")),LOWER(_xlfn.CONCAT(SPORTSMEN!$F31,".",SPORTSMEN!D31,"@xyz.com")))</f>
        <v>moreau.valentine@xyz.com</v>
      </c>
      <c r="N31" s="35">
        <v>74.599999999999994</v>
      </c>
      <c r="O31" s="2" t="s">
        <v>214</v>
      </c>
      <c r="P31" s="2" t="s">
        <v>219</v>
      </c>
      <c r="Q31" s="3" t="str">
        <f>_xlfn.XLOOKUP(SPORTSMEN!$R31,SPORT!$B$2:$B$33,SPORT!$A$2:$A$33,,0)</f>
        <v>OUTDOOR</v>
      </c>
      <c r="R31" s="2" t="s">
        <v>198</v>
      </c>
      <c r="S31" s="38">
        <v>69041</v>
      </c>
    </row>
    <row r="32" spans="1:19" x14ac:dyDescent="0.3">
      <c r="A32" s="33">
        <v>31</v>
      </c>
      <c r="B32" s="3" t="str">
        <f t="shared" si="0"/>
        <v>Mme. Paulette Durand</v>
      </c>
      <c r="C32" s="2" t="s">
        <v>84</v>
      </c>
      <c r="D32" s="2" t="s">
        <v>87</v>
      </c>
      <c r="E32" s="2"/>
      <c r="F32" s="2" t="s">
        <v>88</v>
      </c>
      <c r="G32" s="34">
        <v>32867</v>
      </c>
      <c r="H32" s="2" t="s">
        <v>64</v>
      </c>
      <c r="I32" s="2" t="s">
        <v>138</v>
      </c>
      <c r="J32" s="4" t="s">
        <v>157</v>
      </c>
      <c r="K32" s="32" t="str">
        <f>HLOOKUP($J32,LOCATION!$A$2:$M$3,2,0)</f>
        <v>FRANCE</v>
      </c>
      <c r="L32" s="4" t="str">
        <f>_xlfn.XLOOKUP($J32,LOCATION!B$2:M$2,LOCATION!B$1:M$1,,0)</f>
        <v>French</v>
      </c>
      <c r="M32" s="4" t="str">
        <f>IF($L32="English",LOWER(_xlfn.CONCAT(SPORTSMEN!$F32,".",SPORTSMEN!$D32,"@xyz.org")),LOWER(_xlfn.CONCAT(SPORTSMEN!$F32,".",SPORTSMEN!D32,"@xyz.com")))</f>
        <v>durand.paulette@xyz.com</v>
      </c>
      <c r="N32" s="35">
        <v>81.7</v>
      </c>
      <c r="O32" s="2" t="s">
        <v>213</v>
      </c>
      <c r="P32" s="2" t="s">
        <v>212</v>
      </c>
      <c r="Q32" s="3" t="str">
        <f>_xlfn.XLOOKUP(SPORTSMEN!$R32,SPORT!$B$2:$B$33,SPORT!$A$2:$A$33,,0)</f>
        <v>INDOOR</v>
      </c>
      <c r="R32" s="2" t="s">
        <v>197</v>
      </c>
      <c r="S32" s="38">
        <v>86262</v>
      </c>
    </row>
    <row r="33" spans="1:19" x14ac:dyDescent="0.3">
      <c r="A33" s="33">
        <v>32</v>
      </c>
      <c r="B33" s="3" t="str">
        <f t="shared" si="0"/>
        <v>Mme. Laure-Alix Chevalier</v>
      </c>
      <c r="C33" s="2" t="s">
        <v>84</v>
      </c>
      <c r="D33" s="2" t="s">
        <v>89</v>
      </c>
      <c r="E33" s="2"/>
      <c r="F33" s="2" t="s">
        <v>90</v>
      </c>
      <c r="G33" s="34">
        <v>25925</v>
      </c>
      <c r="H33" s="2" t="s">
        <v>64</v>
      </c>
      <c r="I33" s="2" t="s">
        <v>138</v>
      </c>
      <c r="J33" s="4" t="s">
        <v>157</v>
      </c>
      <c r="K33" s="32" t="str">
        <f>HLOOKUP($J33,LOCATION!$A$2:$M$3,2,0)</f>
        <v>FRANCE</v>
      </c>
      <c r="L33" s="4" t="str">
        <f>_xlfn.XLOOKUP($J33,LOCATION!B$2:M$2,LOCATION!B$1:M$1,,0)</f>
        <v>French</v>
      </c>
      <c r="M33" s="4" t="str">
        <f>IF($L33="English",LOWER(_xlfn.CONCAT(SPORTSMEN!$F33,".",SPORTSMEN!$D33,"@xyz.org")),LOWER(_xlfn.CONCAT(SPORTSMEN!$F33,".",SPORTSMEN!D33,"@xyz.com")))</f>
        <v>chevalier.laure-alix@xyz.com</v>
      </c>
      <c r="N33" s="35">
        <v>78.099999999999994</v>
      </c>
      <c r="O33" s="2" t="s">
        <v>214</v>
      </c>
      <c r="P33" s="2" t="s">
        <v>217</v>
      </c>
      <c r="Q33" s="3" t="str">
        <f>_xlfn.XLOOKUP(SPORTSMEN!$R33,SPORT!$B$2:$B$33,SPORT!$A$2:$A$33,,0)</f>
        <v>OUTDOOR</v>
      </c>
      <c r="R33" s="2" t="s">
        <v>195</v>
      </c>
      <c r="S33" s="38">
        <v>19234</v>
      </c>
    </row>
    <row r="34" spans="1:19" x14ac:dyDescent="0.3">
      <c r="A34" s="33">
        <v>33</v>
      </c>
      <c r="B34" s="3" t="str">
        <f t="shared" si="0"/>
        <v>M. Claude Toussaint</v>
      </c>
      <c r="C34" s="2" t="s">
        <v>91</v>
      </c>
      <c r="D34" s="2" t="s">
        <v>92</v>
      </c>
      <c r="E34" s="2"/>
      <c r="F34" s="2" t="s">
        <v>93</v>
      </c>
      <c r="G34" s="34">
        <v>29529</v>
      </c>
      <c r="H34" s="2" t="s">
        <v>40</v>
      </c>
      <c r="I34" s="2" t="s">
        <v>142</v>
      </c>
      <c r="J34" s="4" t="s">
        <v>157</v>
      </c>
      <c r="K34" s="32" t="str">
        <f>HLOOKUP($J34,LOCATION!$A$2:$M$3,2,0)</f>
        <v>FRANCE</v>
      </c>
      <c r="L34" s="4" t="str">
        <f>_xlfn.XLOOKUP($J34,LOCATION!B$2:M$2,LOCATION!B$1:M$1,,0)</f>
        <v>French</v>
      </c>
      <c r="M34" s="4" t="str">
        <f>IF($L34="English",LOWER(_xlfn.CONCAT(SPORTSMEN!$F34,".",SPORTSMEN!$D34,"@xyz.org")),LOWER(_xlfn.CONCAT(SPORTSMEN!$F34,".",SPORTSMEN!D34,"@xyz.com")))</f>
        <v>toussaint.claude@xyz.com</v>
      </c>
      <c r="N34" s="35">
        <v>57.1</v>
      </c>
      <c r="O34" s="2" t="s">
        <v>209</v>
      </c>
      <c r="P34" s="2" t="s">
        <v>217</v>
      </c>
      <c r="Q34" s="3" t="str">
        <f>_xlfn.XLOOKUP(SPORTSMEN!$R34,SPORT!$B$2:$B$33,SPORT!$A$2:$A$33,,0)</f>
        <v>INDOOR</v>
      </c>
      <c r="R34" s="2" t="s">
        <v>199</v>
      </c>
      <c r="S34" s="38">
        <v>95123</v>
      </c>
    </row>
    <row r="35" spans="1:19" x14ac:dyDescent="0.3">
      <c r="A35" s="33">
        <v>34</v>
      </c>
      <c r="B35" s="3" t="str">
        <f t="shared" si="0"/>
        <v>M. Victor Lenoir</v>
      </c>
      <c r="C35" s="2" t="s">
        <v>91</v>
      </c>
      <c r="D35" s="2" t="s">
        <v>94</v>
      </c>
      <c r="E35" s="2"/>
      <c r="F35" s="2" t="s">
        <v>95</v>
      </c>
      <c r="G35" s="34">
        <v>29875</v>
      </c>
      <c r="H35" s="2" t="s">
        <v>9</v>
      </c>
      <c r="I35" s="2" t="s">
        <v>142</v>
      </c>
      <c r="J35" s="4" t="s">
        <v>157</v>
      </c>
      <c r="K35" s="32" t="str">
        <f>HLOOKUP($J35,LOCATION!$A$2:$M$3,2,0)</f>
        <v>FRANCE</v>
      </c>
      <c r="L35" s="4" t="str">
        <f>_xlfn.XLOOKUP($J35,LOCATION!B$2:M$2,LOCATION!B$1:M$1,,0)</f>
        <v>French</v>
      </c>
      <c r="M35" s="4" t="str">
        <f>IF($L35="English",LOWER(_xlfn.CONCAT(SPORTSMEN!$F35,".",SPORTSMEN!$D35,"@xyz.org")),LOWER(_xlfn.CONCAT(SPORTSMEN!$F35,".",SPORTSMEN!D35,"@xyz.com")))</f>
        <v>lenoir.victor@xyz.com</v>
      </c>
      <c r="N35" s="35">
        <v>56</v>
      </c>
      <c r="O35" s="2" t="s">
        <v>214</v>
      </c>
      <c r="P35" s="2" t="s">
        <v>219</v>
      </c>
      <c r="Q35" s="3" t="str">
        <f>_xlfn.XLOOKUP(SPORTSMEN!$R35,SPORT!$B$2:$B$33,SPORT!$A$2:$A$33,,0)</f>
        <v>OUTDOOR</v>
      </c>
      <c r="R35" s="2" t="s">
        <v>193</v>
      </c>
      <c r="S35" s="38">
        <v>62761</v>
      </c>
    </row>
    <row r="36" spans="1:19" x14ac:dyDescent="0.3">
      <c r="A36" s="33">
        <v>35</v>
      </c>
      <c r="B36" s="3" t="str">
        <f t="shared" si="0"/>
        <v>M. Arthur Lenoir</v>
      </c>
      <c r="C36" s="2" t="s">
        <v>91</v>
      </c>
      <c r="D36" s="2" t="s">
        <v>96</v>
      </c>
      <c r="E36" s="2"/>
      <c r="F36" s="2" t="s">
        <v>95</v>
      </c>
      <c r="G36" s="34">
        <v>20300</v>
      </c>
      <c r="H36" s="2" t="s">
        <v>30</v>
      </c>
      <c r="I36" s="2" t="s">
        <v>142</v>
      </c>
      <c r="J36" s="4" t="s">
        <v>157</v>
      </c>
      <c r="K36" s="32" t="str">
        <f>HLOOKUP($J36,LOCATION!$A$2:$M$3,2,0)</f>
        <v>FRANCE</v>
      </c>
      <c r="L36" s="4" t="str">
        <f>_xlfn.XLOOKUP($J36,LOCATION!B$2:M$2,LOCATION!B$1:M$1,,0)</f>
        <v>French</v>
      </c>
      <c r="M36" s="4" t="str">
        <f>IF($L36="English",LOWER(_xlfn.CONCAT(SPORTSMEN!$F36,".",SPORTSMEN!$D36,"@xyz.org")),LOWER(_xlfn.CONCAT(SPORTSMEN!$F36,".",SPORTSMEN!D36,"@xyz.com")))</f>
        <v>lenoir.arthur@xyz.com</v>
      </c>
      <c r="N36" s="35">
        <v>88.6</v>
      </c>
      <c r="O36" s="2" t="s">
        <v>213</v>
      </c>
      <c r="P36" s="2" t="s">
        <v>217</v>
      </c>
      <c r="Q36" s="3" t="str">
        <f>_xlfn.XLOOKUP(SPORTSMEN!$R36,SPORT!$B$2:$B$33,SPORT!$A$2:$A$33,,0)</f>
        <v>OUTDOOR</v>
      </c>
      <c r="R36" s="2" t="s">
        <v>200</v>
      </c>
      <c r="S36" s="38">
        <v>108431</v>
      </c>
    </row>
    <row r="37" spans="1:19" x14ac:dyDescent="0.3">
      <c r="A37" s="33">
        <v>36</v>
      </c>
      <c r="B37" s="3" t="str">
        <f t="shared" si="0"/>
        <v>M. Benjamin Lebrun-Brun</v>
      </c>
      <c r="C37" s="2" t="s">
        <v>91</v>
      </c>
      <c r="D37" s="2" t="s">
        <v>97</v>
      </c>
      <c r="E37" s="2"/>
      <c r="F37" s="2" t="s">
        <v>98</v>
      </c>
      <c r="G37" s="34">
        <v>27428</v>
      </c>
      <c r="H37" s="2" t="s">
        <v>12</v>
      </c>
      <c r="I37" s="2" t="s">
        <v>142</v>
      </c>
      <c r="J37" s="4" t="s">
        <v>157</v>
      </c>
      <c r="K37" s="32" t="str">
        <f>HLOOKUP($J37,LOCATION!$A$2:$M$3,2,0)</f>
        <v>FRANCE</v>
      </c>
      <c r="L37" s="4" t="str">
        <f>_xlfn.XLOOKUP($J37,LOCATION!B$2:M$2,LOCATION!B$1:M$1,,0)</f>
        <v>French</v>
      </c>
      <c r="M37" s="4" t="str">
        <f>IF($L37="English",LOWER(_xlfn.CONCAT(SPORTSMEN!$F37,".",SPORTSMEN!$D37,"@xyz.org")),LOWER(_xlfn.CONCAT(SPORTSMEN!$F37,".",SPORTSMEN!D37,"@xyz.com")))</f>
        <v>lebrun-brun.benjamin@xyz.com</v>
      </c>
      <c r="N37" s="35">
        <v>78.2</v>
      </c>
      <c r="O37" s="2" t="s">
        <v>211</v>
      </c>
      <c r="P37" s="2" t="s">
        <v>212</v>
      </c>
      <c r="Q37" s="3" t="str">
        <f>_xlfn.XLOOKUP(SPORTSMEN!$R37,SPORT!$B$2:$B$33,SPORT!$A$2:$A$33,,0)</f>
        <v>OUTDOOR</v>
      </c>
      <c r="R37" s="2" t="s">
        <v>193</v>
      </c>
      <c r="S37" s="38">
        <v>66268</v>
      </c>
    </row>
    <row r="38" spans="1:19" x14ac:dyDescent="0.3">
      <c r="A38" s="33">
        <v>37</v>
      </c>
      <c r="B38" s="3" t="str">
        <f t="shared" si="0"/>
        <v>M. Antoine Maillard</v>
      </c>
      <c r="C38" s="2" t="s">
        <v>91</v>
      </c>
      <c r="D38" s="2" t="s">
        <v>99</v>
      </c>
      <c r="E38" s="2"/>
      <c r="F38" s="2" t="s">
        <v>100</v>
      </c>
      <c r="G38" s="34">
        <v>31585</v>
      </c>
      <c r="H38" s="2" t="s">
        <v>17</v>
      </c>
      <c r="I38" s="2" t="s">
        <v>142</v>
      </c>
      <c r="J38" s="4" t="s">
        <v>157</v>
      </c>
      <c r="K38" s="32" t="str">
        <f>HLOOKUP($J38,LOCATION!$A$2:$M$3,2,0)</f>
        <v>FRANCE</v>
      </c>
      <c r="L38" s="4" t="str">
        <f>_xlfn.XLOOKUP($J38,LOCATION!B$2:M$2,LOCATION!B$1:M$1,,0)</f>
        <v>French</v>
      </c>
      <c r="M38" s="4" t="str">
        <f>IF($L38="English",LOWER(_xlfn.CONCAT(SPORTSMEN!$F38,".",SPORTSMEN!$D38,"@xyz.org")),LOWER(_xlfn.CONCAT(SPORTSMEN!$F38,".",SPORTSMEN!D38,"@xyz.com")))</f>
        <v>maillard.antoine@xyz.com</v>
      </c>
      <c r="N38" s="35">
        <v>95.8</v>
      </c>
      <c r="O38" s="2" t="s">
        <v>214</v>
      </c>
      <c r="P38" s="2" t="s">
        <v>215</v>
      </c>
      <c r="Q38" s="3" t="str">
        <f>_xlfn.XLOOKUP(SPORTSMEN!$R38,SPORT!$B$2:$B$33,SPORT!$A$2:$A$33,,0)</f>
        <v>OUTDOOR</v>
      </c>
      <c r="R38" s="2" t="s">
        <v>201</v>
      </c>
      <c r="S38" s="38">
        <v>33970</v>
      </c>
    </row>
    <row r="39" spans="1:19" x14ac:dyDescent="0.3">
      <c r="A39" s="33">
        <v>38</v>
      </c>
      <c r="B39" s="3" t="str">
        <f t="shared" si="0"/>
        <v>M. Bernard Hoarau-Guyon</v>
      </c>
      <c r="C39" s="2" t="s">
        <v>91</v>
      </c>
      <c r="D39" s="2" t="s">
        <v>101</v>
      </c>
      <c r="E39" s="2"/>
      <c r="F39" s="2" t="s">
        <v>102</v>
      </c>
      <c r="G39" s="34">
        <v>30327</v>
      </c>
      <c r="H39" s="2" t="s">
        <v>64</v>
      </c>
      <c r="I39" s="2" t="s">
        <v>142</v>
      </c>
      <c r="J39" s="4" t="s">
        <v>157</v>
      </c>
      <c r="K39" s="32" t="str">
        <f>HLOOKUP($J39,LOCATION!$A$2:$M$3,2,0)</f>
        <v>FRANCE</v>
      </c>
      <c r="L39" s="4" t="str">
        <f>_xlfn.XLOOKUP($J39,LOCATION!B$2:M$2,LOCATION!B$1:M$1,,0)</f>
        <v>French</v>
      </c>
      <c r="M39" s="4" t="str">
        <f>IF($L39="English",LOWER(_xlfn.CONCAT(SPORTSMEN!$F39,".",SPORTSMEN!$D39,"@xyz.org")),LOWER(_xlfn.CONCAT(SPORTSMEN!$F39,".",SPORTSMEN!D39,"@xyz.com")))</f>
        <v>hoarau-guyon.bernard@xyz.com</v>
      </c>
      <c r="N39" s="35">
        <v>59.7</v>
      </c>
      <c r="O39" s="2" t="s">
        <v>218</v>
      </c>
      <c r="P39" s="2" t="s">
        <v>212</v>
      </c>
      <c r="Q39" s="3" t="str">
        <f>_xlfn.XLOOKUP(SPORTSMEN!$R39,SPORT!$B$2:$B$33,SPORT!$A$2:$A$33,,0)</f>
        <v>INDOOR</v>
      </c>
      <c r="R39" s="2" t="s">
        <v>174</v>
      </c>
      <c r="S39" s="38">
        <v>71352</v>
      </c>
    </row>
    <row r="40" spans="1:19" x14ac:dyDescent="0.3">
      <c r="A40" s="33">
        <v>39</v>
      </c>
      <c r="B40" s="3" t="str">
        <f t="shared" si="0"/>
        <v>Sr. Hidalgo Tercero</v>
      </c>
      <c r="C40" s="2" t="s">
        <v>13</v>
      </c>
      <c r="D40" s="2" t="s">
        <v>103</v>
      </c>
      <c r="E40" s="2" t="s">
        <v>104</v>
      </c>
      <c r="F40" s="2" t="s">
        <v>105</v>
      </c>
      <c r="G40" s="34">
        <v>31016</v>
      </c>
      <c r="H40" s="2" t="s">
        <v>27</v>
      </c>
      <c r="I40" s="2" t="s">
        <v>142</v>
      </c>
      <c r="J40" s="4" t="s">
        <v>160</v>
      </c>
      <c r="K40" s="32" t="str">
        <f>HLOOKUP($J40,LOCATION!$A$2:$M$3,2,0)</f>
        <v>ARGENTINA</v>
      </c>
      <c r="L40" s="4" t="str">
        <f>_xlfn.XLOOKUP($J40,LOCATION!B$2:M$2,LOCATION!B$1:M$1,,0)</f>
        <v>Spanish</v>
      </c>
      <c r="M40" s="4" t="str">
        <f>IF($L40="English",LOWER(_xlfn.CONCAT(SPORTSMEN!$F40,".",SPORTSMEN!$D40,"@xyz.org")),LOWER(_xlfn.CONCAT(SPORTSMEN!$F40,".",SPORTSMEN!D40,"@xyz.com")))</f>
        <v>tercero.hidalgo@xyz.com</v>
      </c>
      <c r="N40" s="35">
        <v>77.7</v>
      </c>
      <c r="O40" s="2" t="s">
        <v>218</v>
      </c>
      <c r="P40" s="2" t="s">
        <v>215</v>
      </c>
      <c r="Q40" s="3" t="str">
        <f>_xlfn.XLOOKUP(SPORTSMEN!$R40,SPORT!$B$2:$B$33,SPORT!$A$2:$A$33,,0)</f>
        <v>OUTDOOR</v>
      </c>
      <c r="R40" s="2" t="s">
        <v>196</v>
      </c>
      <c r="S40" s="38">
        <v>116376</v>
      </c>
    </row>
    <row r="41" spans="1:19" x14ac:dyDescent="0.3">
      <c r="A41" s="33">
        <v>40</v>
      </c>
      <c r="B41" s="3" t="str">
        <f t="shared" si="0"/>
        <v>Sr. Hadalgo Polanco</v>
      </c>
      <c r="C41" s="2" t="s">
        <v>13</v>
      </c>
      <c r="D41" s="2" t="s">
        <v>106</v>
      </c>
      <c r="E41" s="2"/>
      <c r="F41" s="2" t="s">
        <v>107</v>
      </c>
      <c r="G41" s="34">
        <v>32314</v>
      </c>
      <c r="H41" s="2" t="s">
        <v>108</v>
      </c>
      <c r="I41" s="2" t="s">
        <v>142</v>
      </c>
      <c r="J41" s="4" t="s">
        <v>160</v>
      </c>
      <c r="K41" s="32" t="str">
        <f>HLOOKUP($J41,LOCATION!$A$2:$M$3,2,0)</f>
        <v>ARGENTINA</v>
      </c>
      <c r="L41" s="4" t="str">
        <f>_xlfn.XLOOKUP($J41,LOCATION!B$2:M$2,LOCATION!B$1:M$1,,0)</f>
        <v>Spanish</v>
      </c>
      <c r="M41" s="4" t="str">
        <f>IF($L41="English",LOWER(_xlfn.CONCAT(SPORTSMEN!$F41,".",SPORTSMEN!$D41,"@xyz.org")),LOWER(_xlfn.CONCAT(SPORTSMEN!$F41,".",SPORTSMEN!D41,"@xyz.com")))</f>
        <v>polanco.hadalgo@xyz.com</v>
      </c>
      <c r="N41" s="35">
        <v>98</v>
      </c>
      <c r="O41" s="2" t="s">
        <v>214</v>
      </c>
      <c r="P41" s="2" t="s">
        <v>210</v>
      </c>
      <c r="Q41" s="3" t="str">
        <f>_xlfn.XLOOKUP(SPORTSMEN!$R41,SPORT!$B$2:$B$33,SPORT!$A$2:$A$33,,0)</f>
        <v>OUTDOOR</v>
      </c>
      <c r="R41" s="2" t="s">
        <v>195</v>
      </c>
      <c r="S41" s="38">
        <v>114144</v>
      </c>
    </row>
    <row r="42" spans="1:19" x14ac:dyDescent="0.3">
      <c r="A42" s="33">
        <v>41</v>
      </c>
      <c r="B42" s="3" t="str">
        <f t="shared" si="0"/>
        <v>Sra. Laura Oliviera</v>
      </c>
      <c r="C42" s="2" t="s">
        <v>109</v>
      </c>
      <c r="D42" s="2" t="s">
        <v>110</v>
      </c>
      <c r="E42" s="2"/>
      <c r="F42" s="2" t="s">
        <v>111</v>
      </c>
      <c r="G42" s="34">
        <v>27076</v>
      </c>
      <c r="H42" s="2" t="s">
        <v>12</v>
      </c>
      <c r="I42" s="2" t="s">
        <v>138</v>
      </c>
      <c r="J42" s="4" t="s">
        <v>160</v>
      </c>
      <c r="K42" s="32" t="str">
        <f>HLOOKUP($J42,LOCATION!$A$2:$M$3,2,0)</f>
        <v>ARGENTINA</v>
      </c>
      <c r="L42" s="4" t="str">
        <f>_xlfn.XLOOKUP($J42,LOCATION!B$2:M$2,LOCATION!B$1:M$1,,0)</f>
        <v>Spanish</v>
      </c>
      <c r="M42" s="4" t="str">
        <f>IF($L42="English",LOWER(_xlfn.CONCAT(SPORTSMEN!$F42,".",SPORTSMEN!$D42,"@xyz.org")),LOWER(_xlfn.CONCAT(SPORTSMEN!$F42,".",SPORTSMEN!D42,"@xyz.com")))</f>
        <v>oliviera.laura@xyz.com</v>
      </c>
      <c r="N42" s="35">
        <v>51.9</v>
      </c>
      <c r="O42" s="2" t="s">
        <v>213</v>
      </c>
      <c r="P42" s="2" t="s">
        <v>212</v>
      </c>
      <c r="Q42" s="3" t="str">
        <f>_xlfn.XLOOKUP(SPORTSMEN!$R42,SPORT!$B$2:$B$33,SPORT!$A$2:$A$33,,0)</f>
        <v>OUTDOOR</v>
      </c>
      <c r="R42" s="2" t="s">
        <v>202</v>
      </c>
      <c r="S42" s="38">
        <v>79872</v>
      </c>
    </row>
    <row r="43" spans="1:19" x14ac:dyDescent="0.3">
      <c r="A43" s="33">
        <v>42</v>
      </c>
      <c r="B43" s="3" t="str">
        <f t="shared" si="0"/>
        <v>Sra. Ainhoa Garza</v>
      </c>
      <c r="C43" s="2" t="s">
        <v>109</v>
      </c>
      <c r="D43" s="2" t="s">
        <v>112</v>
      </c>
      <c r="E43" s="2"/>
      <c r="F43" s="2" t="s">
        <v>113</v>
      </c>
      <c r="G43" s="34">
        <v>32941</v>
      </c>
      <c r="H43" s="2" t="s">
        <v>53</v>
      </c>
      <c r="I43" s="2" t="s">
        <v>138</v>
      </c>
      <c r="J43" s="4" t="s">
        <v>162</v>
      </c>
      <c r="K43" s="32" t="str">
        <f>HLOOKUP($J43,LOCATION!$A$2:$M$3,2,0)</f>
        <v>SPAIN</v>
      </c>
      <c r="L43" s="4" t="str">
        <f>_xlfn.XLOOKUP($J43,LOCATION!B$2:M$2,LOCATION!B$1:M$1,,0)</f>
        <v>Spanish</v>
      </c>
      <c r="M43" s="4" t="str">
        <f>IF($L43="English",LOWER(_xlfn.CONCAT(SPORTSMEN!$F43,".",SPORTSMEN!$D43,"@xyz.org")),LOWER(_xlfn.CONCAT(SPORTSMEN!$F43,".",SPORTSMEN!D43,"@xyz.com")))</f>
        <v>garza.ainhoa@xyz.com</v>
      </c>
      <c r="N43" s="35">
        <v>55.6</v>
      </c>
      <c r="O43" s="2" t="s">
        <v>211</v>
      </c>
      <c r="P43" s="2" t="s">
        <v>217</v>
      </c>
      <c r="Q43" s="3" t="str">
        <f>_xlfn.XLOOKUP(SPORTSMEN!$R43,SPORT!$B$2:$B$33,SPORT!$A$2:$A$33,,0)</f>
        <v>INDOOR</v>
      </c>
      <c r="R43" s="2" t="s">
        <v>203</v>
      </c>
      <c r="S43" s="38">
        <v>101969</v>
      </c>
    </row>
    <row r="44" spans="1:19" x14ac:dyDescent="0.3">
      <c r="A44" s="33">
        <v>43</v>
      </c>
      <c r="B44" s="3" t="str">
        <f t="shared" si="0"/>
        <v>Sra. Isabel Banda</v>
      </c>
      <c r="C44" s="2" t="s">
        <v>109</v>
      </c>
      <c r="D44" s="2" t="s">
        <v>76</v>
      </c>
      <c r="E44" s="2"/>
      <c r="F44" s="2" t="s">
        <v>114</v>
      </c>
      <c r="G44" s="34">
        <v>21927</v>
      </c>
      <c r="H44" s="2" t="s">
        <v>64</v>
      </c>
      <c r="I44" s="2" t="s">
        <v>138</v>
      </c>
      <c r="J44" s="4" t="s">
        <v>162</v>
      </c>
      <c r="K44" s="32" t="str">
        <f>HLOOKUP($J44,LOCATION!$A$2:$M$3,2,0)</f>
        <v>SPAIN</v>
      </c>
      <c r="L44" s="4" t="str">
        <f>_xlfn.XLOOKUP($J44,LOCATION!B$2:M$2,LOCATION!B$1:M$1,,0)</f>
        <v>Spanish</v>
      </c>
      <c r="M44" s="4" t="str">
        <f>IF($L44="English",LOWER(_xlfn.CONCAT(SPORTSMEN!$F44,".",SPORTSMEN!$D44,"@xyz.org")),LOWER(_xlfn.CONCAT(SPORTSMEN!$F44,".",SPORTSMEN!D44,"@xyz.com")))</f>
        <v>banda.isabel@xyz.com</v>
      </c>
      <c r="N44" s="35">
        <v>102.3</v>
      </c>
      <c r="O44" s="2" t="s">
        <v>213</v>
      </c>
      <c r="P44" s="2" t="s">
        <v>217</v>
      </c>
      <c r="Q44" s="3" t="str">
        <f>_xlfn.XLOOKUP(SPORTSMEN!$R44,SPORT!$B$2:$B$33,SPORT!$A$2:$A$33,,0)</f>
        <v>OUTDOOR</v>
      </c>
      <c r="R44" s="2" t="s">
        <v>196</v>
      </c>
      <c r="S44" s="38">
        <v>50659</v>
      </c>
    </row>
    <row r="45" spans="1:19" x14ac:dyDescent="0.3">
      <c r="A45" s="33">
        <v>44</v>
      </c>
      <c r="B45" s="3" t="str">
        <f t="shared" si="0"/>
        <v>Sra. Carolota Mateos</v>
      </c>
      <c r="C45" s="2" t="s">
        <v>109</v>
      </c>
      <c r="D45" s="2" t="s">
        <v>115</v>
      </c>
      <c r="E45" s="2"/>
      <c r="F45" s="2" t="s">
        <v>116</v>
      </c>
      <c r="G45" s="34">
        <v>23952</v>
      </c>
      <c r="H45" s="2" t="s">
        <v>30</v>
      </c>
      <c r="I45" s="2" t="s">
        <v>138</v>
      </c>
      <c r="J45" s="4" t="s">
        <v>162</v>
      </c>
      <c r="K45" s="32" t="str">
        <f>HLOOKUP($J45,LOCATION!$A$2:$M$3,2,0)</f>
        <v>SPAIN</v>
      </c>
      <c r="L45" s="4" t="str">
        <f>_xlfn.XLOOKUP($J45,LOCATION!B$2:M$2,LOCATION!B$1:M$1,,0)</f>
        <v>Spanish</v>
      </c>
      <c r="M45" s="4" t="str">
        <f>IF($L45="English",LOWER(_xlfn.CONCAT(SPORTSMEN!$F45,".",SPORTSMEN!$D45,"@xyz.org")),LOWER(_xlfn.CONCAT(SPORTSMEN!$F45,".",SPORTSMEN!D45,"@xyz.com")))</f>
        <v>mateos.carolota@xyz.com</v>
      </c>
      <c r="N45" s="35">
        <v>58.8</v>
      </c>
      <c r="O45" s="2" t="s">
        <v>218</v>
      </c>
      <c r="P45" s="2" t="s">
        <v>212</v>
      </c>
      <c r="Q45" s="3" t="str">
        <f>_xlfn.XLOOKUP(SPORTSMEN!$R45,SPORT!$B$2:$B$33,SPORT!$A$2:$A$33,,0)</f>
        <v>OUTDOOR</v>
      </c>
      <c r="R45" s="2" t="s">
        <v>202</v>
      </c>
      <c r="S45" s="38">
        <v>58215</v>
      </c>
    </row>
    <row r="46" spans="1:19" x14ac:dyDescent="0.3">
      <c r="A46" s="33">
        <v>45</v>
      </c>
      <c r="B46" s="3" t="str">
        <f t="shared" si="0"/>
        <v>Mw. Elize Prins</v>
      </c>
      <c r="C46" s="2" t="s">
        <v>117</v>
      </c>
      <c r="D46" s="2" t="s">
        <v>118</v>
      </c>
      <c r="E46" s="2"/>
      <c r="F46" s="2" t="s">
        <v>119</v>
      </c>
      <c r="G46" s="34">
        <v>22044</v>
      </c>
      <c r="H46" s="2" t="s">
        <v>20</v>
      </c>
      <c r="I46" s="2" t="s">
        <v>138</v>
      </c>
      <c r="J46" s="4" t="s">
        <v>165</v>
      </c>
      <c r="K46" s="32" t="str">
        <f>HLOOKUP($J46,LOCATION!$A$2:$M$3,2,0)</f>
        <v>NETHERLANDS</v>
      </c>
      <c r="L46" s="4" t="str">
        <f>_xlfn.XLOOKUP($J46,LOCATION!B$2:M$2,LOCATION!B$1:M$1,,0)</f>
        <v>Dutch</v>
      </c>
      <c r="M46" s="4" t="str">
        <f>IF($L46="English",LOWER(_xlfn.CONCAT(SPORTSMEN!$F46,".",SPORTSMEN!$D46,"@xyz.org")),LOWER(_xlfn.CONCAT(SPORTSMEN!$F46,".",SPORTSMEN!D46,"@xyz.com")))</f>
        <v>prins.elize@xyz.com</v>
      </c>
      <c r="N46" s="35">
        <v>63.8</v>
      </c>
      <c r="O46" s="2" t="s">
        <v>214</v>
      </c>
      <c r="P46" s="2" t="s">
        <v>217</v>
      </c>
      <c r="Q46" s="3" t="str">
        <f>_xlfn.XLOOKUP(SPORTSMEN!$R46,SPORT!$B$2:$B$33,SPORT!$A$2:$A$33,,0)</f>
        <v>INDOOR</v>
      </c>
      <c r="R46" s="2" t="s">
        <v>204</v>
      </c>
      <c r="S46" s="38">
        <v>39935</v>
      </c>
    </row>
    <row r="47" spans="1:19" x14ac:dyDescent="0.3">
      <c r="A47" s="33">
        <v>46</v>
      </c>
      <c r="B47" s="3" t="str">
        <f t="shared" si="0"/>
        <v>dhr. Ryan Pham</v>
      </c>
      <c r="C47" s="2" t="s">
        <v>120</v>
      </c>
      <c r="D47" s="2" t="s">
        <v>121</v>
      </c>
      <c r="E47" s="2"/>
      <c r="F47" s="2" t="s">
        <v>122</v>
      </c>
      <c r="G47" s="34">
        <v>26940</v>
      </c>
      <c r="H47" s="2" t="s">
        <v>9</v>
      </c>
      <c r="I47" s="2" t="s">
        <v>142</v>
      </c>
      <c r="J47" s="4" t="s">
        <v>165</v>
      </c>
      <c r="K47" s="32" t="str">
        <f>HLOOKUP($J47,LOCATION!$A$2:$M$3,2,0)</f>
        <v>NETHERLANDS</v>
      </c>
      <c r="L47" s="4" t="str">
        <f>_xlfn.XLOOKUP($J47,LOCATION!B$2:M$2,LOCATION!B$1:M$1,,0)</f>
        <v>Dutch</v>
      </c>
      <c r="M47" s="4" t="str">
        <f>IF($L47="English",LOWER(_xlfn.CONCAT(SPORTSMEN!$F47,".",SPORTSMEN!$D47,"@xyz.org")),LOWER(_xlfn.CONCAT(SPORTSMEN!$F47,".",SPORTSMEN!D47,"@xyz.com")))</f>
        <v>pham.ryan@xyz.com</v>
      </c>
      <c r="N47" s="35">
        <v>98.6</v>
      </c>
      <c r="O47" s="2" t="s">
        <v>213</v>
      </c>
      <c r="P47" s="2" t="s">
        <v>219</v>
      </c>
      <c r="Q47" s="3" t="str">
        <f>_xlfn.XLOOKUP(SPORTSMEN!$R47,SPORT!$B$2:$B$33,SPORT!$A$2:$A$33,,0)</f>
        <v>OUTDOOR</v>
      </c>
      <c r="R47" s="2" t="s">
        <v>195</v>
      </c>
      <c r="S47" s="38">
        <v>44865</v>
      </c>
    </row>
    <row r="48" spans="1:19" x14ac:dyDescent="0.3">
      <c r="A48" s="33">
        <v>47</v>
      </c>
      <c r="B48" s="3" t="str">
        <f t="shared" si="0"/>
        <v>Mw Elise Rotteveel</v>
      </c>
      <c r="C48" s="2" t="s">
        <v>123</v>
      </c>
      <c r="D48" s="2" t="s">
        <v>124</v>
      </c>
      <c r="E48" s="2"/>
      <c r="F48" s="2" t="s">
        <v>125</v>
      </c>
      <c r="G48" s="34">
        <v>24936</v>
      </c>
      <c r="H48" s="2" t="s">
        <v>69</v>
      </c>
      <c r="I48" s="2" t="s">
        <v>138</v>
      </c>
      <c r="J48" s="4" t="s">
        <v>165</v>
      </c>
      <c r="K48" s="32" t="str">
        <f>HLOOKUP($J48,LOCATION!$A$2:$M$3,2,0)</f>
        <v>NETHERLANDS</v>
      </c>
      <c r="L48" s="4" t="str">
        <f>_xlfn.XLOOKUP($J48,LOCATION!B$2:M$2,LOCATION!B$1:M$1,,0)</f>
        <v>Dutch</v>
      </c>
      <c r="M48" s="4" t="str">
        <f>IF($L48="English",LOWER(_xlfn.CONCAT(SPORTSMEN!$F48,".",SPORTSMEN!$D48,"@xyz.org")),LOWER(_xlfn.CONCAT(SPORTSMEN!$F48,".",SPORTSMEN!D48,"@xyz.com")))</f>
        <v>rotteveel.elise@xyz.com</v>
      </c>
      <c r="N48" s="35">
        <v>61.8</v>
      </c>
      <c r="O48" s="2" t="s">
        <v>218</v>
      </c>
      <c r="P48" s="2" t="s">
        <v>212</v>
      </c>
      <c r="Q48" s="3" t="str">
        <f>_xlfn.XLOOKUP(SPORTSMEN!$R48,SPORT!$B$2:$B$33,SPORT!$A$2:$A$33,,0)</f>
        <v>OUTDOOR</v>
      </c>
      <c r="R48" s="2" t="s">
        <v>195</v>
      </c>
      <c r="S48" s="38">
        <v>90478</v>
      </c>
    </row>
    <row r="49" spans="1:19" x14ac:dyDescent="0.3">
      <c r="A49" s="33">
        <v>48</v>
      </c>
      <c r="B49" s="3" t="str">
        <f t="shared" si="0"/>
        <v>Fru. Mirjam Soderberg</v>
      </c>
      <c r="C49" s="2" t="s">
        <v>126</v>
      </c>
      <c r="D49" s="2" t="s">
        <v>127</v>
      </c>
      <c r="E49" s="2"/>
      <c r="F49" s="2" t="s">
        <v>128</v>
      </c>
      <c r="G49" s="34">
        <v>35567</v>
      </c>
      <c r="H49" s="2" t="s">
        <v>20</v>
      </c>
      <c r="I49" s="2" t="s">
        <v>138</v>
      </c>
      <c r="J49" s="4" t="s">
        <v>168</v>
      </c>
      <c r="K49" s="32" t="str">
        <f>HLOOKUP($J49,LOCATION!$A$2:$M$3,2,0)</f>
        <v>SWEDEN</v>
      </c>
      <c r="L49" s="4" t="str">
        <f>_xlfn.XLOOKUP($J49,LOCATION!B$2:M$2,LOCATION!B$1:M$1,,0)</f>
        <v>Swedish</v>
      </c>
      <c r="M49" s="4" t="str">
        <f>IF($L49="English",LOWER(_xlfn.CONCAT(SPORTSMEN!$F49,".",SPORTSMEN!$D49,"@xyz.org")),LOWER(_xlfn.CONCAT(SPORTSMEN!$F49,".",SPORTSMEN!D49,"@xyz.com")))</f>
        <v>soderberg.mirjam@xyz.com</v>
      </c>
      <c r="N49" s="35">
        <v>50</v>
      </c>
      <c r="O49" s="2" t="s">
        <v>213</v>
      </c>
      <c r="P49" s="2" t="s">
        <v>217</v>
      </c>
      <c r="Q49" s="3" t="str">
        <f>_xlfn.XLOOKUP(SPORTSMEN!$R49,SPORT!$B$2:$B$33,SPORT!$A$2:$A$33,,0)</f>
        <v>OUTDOOR</v>
      </c>
      <c r="R49" s="2" t="s">
        <v>177</v>
      </c>
      <c r="S49" s="38">
        <v>38965</v>
      </c>
    </row>
    <row r="50" spans="1:19" x14ac:dyDescent="0.3">
      <c r="A50" s="33">
        <v>49</v>
      </c>
      <c r="B50" s="3" t="str">
        <f t="shared" si="0"/>
        <v>H. Berndt Palsson</v>
      </c>
      <c r="C50" s="2" t="s">
        <v>129</v>
      </c>
      <c r="D50" s="2" t="s">
        <v>130</v>
      </c>
      <c r="E50" s="2"/>
      <c r="F50" s="2" t="s">
        <v>131</v>
      </c>
      <c r="G50" s="34">
        <v>31832</v>
      </c>
      <c r="H50" s="2" t="s">
        <v>53</v>
      </c>
      <c r="I50" s="2" t="s">
        <v>142</v>
      </c>
      <c r="J50" s="4" t="s">
        <v>168</v>
      </c>
      <c r="K50" s="32" t="str">
        <f>HLOOKUP($J50,LOCATION!$A$2:$M$3,2,0)</f>
        <v>SWEDEN</v>
      </c>
      <c r="L50" s="4" t="str">
        <f>_xlfn.XLOOKUP($J50,LOCATION!B$2:M$2,LOCATION!B$1:M$1,,0)</f>
        <v>Swedish</v>
      </c>
      <c r="M50" s="4" t="str">
        <f>IF($L50="English",LOWER(_xlfn.CONCAT(SPORTSMEN!$F50,".",SPORTSMEN!$D50,"@xyz.org")),LOWER(_xlfn.CONCAT(SPORTSMEN!$F50,".",SPORTSMEN!D50,"@xyz.com")))</f>
        <v>palsson.berndt@xyz.com</v>
      </c>
      <c r="N50" s="35">
        <v>45.9</v>
      </c>
      <c r="O50" s="2" t="s">
        <v>214</v>
      </c>
      <c r="P50" s="2" t="s">
        <v>210</v>
      </c>
      <c r="Q50" s="3" t="str">
        <f>_xlfn.XLOOKUP(SPORTSMEN!$R50,SPORT!$B$2:$B$33,SPORT!$A$2:$A$33,,0)</f>
        <v>OUTDOOR</v>
      </c>
      <c r="R50" s="2" t="s">
        <v>205</v>
      </c>
      <c r="S50" s="38">
        <v>35387</v>
      </c>
    </row>
    <row r="51" spans="1:19" x14ac:dyDescent="0.3">
      <c r="A51" s="33">
        <v>50</v>
      </c>
      <c r="B51" s="3" t="str">
        <f t="shared" si="0"/>
        <v>Sr. Adriano Sobrinho</v>
      </c>
      <c r="C51" s="2" t="s">
        <v>13</v>
      </c>
      <c r="D51" s="2" t="s">
        <v>132</v>
      </c>
      <c r="E51" s="2" t="s">
        <v>133</v>
      </c>
      <c r="F51" s="2" t="s">
        <v>134</v>
      </c>
      <c r="G51" s="34">
        <v>34178</v>
      </c>
      <c r="H51" s="2" t="s">
        <v>30</v>
      </c>
      <c r="I51" s="2" t="s">
        <v>142</v>
      </c>
      <c r="J51" s="4" t="s">
        <v>169</v>
      </c>
      <c r="K51" s="32" t="str">
        <f>HLOOKUP($J51,LOCATION!$A$2:$M$3,2,0)</f>
        <v>BRAZIL</v>
      </c>
      <c r="L51" s="4" t="str">
        <f>_xlfn.XLOOKUP($J51,LOCATION!B$2:M$2,LOCATION!B$1:M$1,,0)</f>
        <v>Portuguese</v>
      </c>
      <c r="M51" s="4" t="str">
        <f>IF($L51="English",LOWER(_xlfn.CONCAT(SPORTSMEN!$F51,".",SPORTSMEN!$D51,"@xyz.org")),LOWER(_xlfn.CONCAT(SPORTSMEN!$F51,".",SPORTSMEN!D51,"@xyz.com")))</f>
        <v>sobrinho.adriano@xyz.com</v>
      </c>
      <c r="N51" s="35">
        <v>92.5</v>
      </c>
      <c r="O51" s="2" t="s">
        <v>209</v>
      </c>
      <c r="P51" s="2" t="s">
        <v>216</v>
      </c>
      <c r="Q51" s="3" t="str">
        <f>_xlfn.XLOOKUP(SPORTSMEN!$R51,SPORT!$B$2:$B$33,SPORT!$A$2:$A$33,,0)</f>
        <v>INDOOR</v>
      </c>
      <c r="R51" s="2" t="s">
        <v>206</v>
      </c>
      <c r="S51" s="38">
        <v>20532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workbookViewId="0">
      <selection activeCell="H43" sqref="H43"/>
    </sheetView>
  </sheetViews>
  <sheetFormatPr defaultRowHeight="14.4" x14ac:dyDescent="0.3"/>
  <cols>
    <col min="1" max="1" width="15.5546875" bestFit="1" customWidth="1"/>
    <col min="2" max="2" width="24" bestFit="1" customWidth="1"/>
  </cols>
  <sheetData>
    <row r="1" spans="1:2" x14ac:dyDescent="0.3">
      <c r="A1" s="29" t="s">
        <v>171</v>
      </c>
      <c r="B1" s="29" t="s">
        <v>172</v>
      </c>
    </row>
    <row r="2" spans="1:2" x14ac:dyDescent="0.3">
      <c r="A2" s="30" t="s">
        <v>173</v>
      </c>
      <c r="B2" s="30" t="s">
        <v>174</v>
      </c>
    </row>
    <row r="3" spans="1:2" x14ac:dyDescent="0.3">
      <c r="A3" s="31" t="s">
        <v>173</v>
      </c>
      <c r="B3" s="31" t="s">
        <v>175</v>
      </c>
    </row>
    <row r="4" spans="1:2" x14ac:dyDescent="0.3">
      <c r="A4" s="31" t="s">
        <v>176</v>
      </c>
      <c r="B4" s="31" t="s">
        <v>177</v>
      </c>
    </row>
    <row r="5" spans="1:2" x14ac:dyDescent="0.3">
      <c r="A5" s="31" t="s">
        <v>176</v>
      </c>
      <c r="B5" s="31" t="s">
        <v>178</v>
      </c>
    </row>
    <row r="6" spans="1:2" x14ac:dyDescent="0.3">
      <c r="A6" s="31" t="s">
        <v>173</v>
      </c>
      <c r="B6" s="31" t="s">
        <v>179</v>
      </c>
    </row>
    <row r="7" spans="1:2" x14ac:dyDescent="0.3">
      <c r="A7" s="31" t="s">
        <v>173</v>
      </c>
      <c r="B7" s="31" t="s">
        <v>180</v>
      </c>
    </row>
    <row r="8" spans="1:2" x14ac:dyDescent="0.3">
      <c r="A8" s="31" t="s">
        <v>176</v>
      </c>
      <c r="B8" s="31" t="s">
        <v>181</v>
      </c>
    </row>
    <row r="9" spans="1:2" x14ac:dyDescent="0.3">
      <c r="A9" s="31" t="s">
        <v>173</v>
      </c>
      <c r="B9" s="31" t="s">
        <v>182</v>
      </c>
    </row>
    <row r="10" spans="1:2" x14ac:dyDescent="0.3">
      <c r="A10" s="31" t="s">
        <v>173</v>
      </c>
      <c r="B10" s="31" t="s">
        <v>183</v>
      </c>
    </row>
    <row r="11" spans="1:2" x14ac:dyDescent="0.3">
      <c r="A11" s="31" t="s">
        <v>176</v>
      </c>
      <c r="B11" s="31" t="s">
        <v>184</v>
      </c>
    </row>
    <row r="12" spans="1:2" x14ac:dyDescent="0.3">
      <c r="A12" s="31" t="s">
        <v>176</v>
      </c>
      <c r="B12" s="31" t="s">
        <v>185</v>
      </c>
    </row>
    <row r="13" spans="1:2" x14ac:dyDescent="0.3">
      <c r="A13" s="31" t="s">
        <v>176</v>
      </c>
      <c r="B13" s="31" t="s">
        <v>186</v>
      </c>
    </row>
    <row r="14" spans="1:2" x14ac:dyDescent="0.3">
      <c r="A14" s="31" t="s">
        <v>176</v>
      </c>
      <c r="B14" s="31" t="s">
        <v>187</v>
      </c>
    </row>
    <row r="15" spans="1:2" x14ac:dyDescent="0.3">
      <c r="A15" s="31" t="s">
        <v>173</v>
      </c>
      <c r="B15" s="31" t="s">
        <v>188</v>
      </c>
    </row>
    <row r="16" spans="1:2" x14ac:dyDescent="0.3">
      <c r="A16" s="31" t="s">
        <v>173</v>
      </c>
      <c r="B16" s="31" t="s">
        <v>189</v>
      </c>
    </row>
    <row r="17" spans="1:2" x14ac:dyDescent="0.3">
      <c r="A17" s="31" t="s">
        <v>176</v>
      </c>
      <c r="B17" s="31" t="s">
        <v>190</v>
      </c>
    </row>
    <row r="18" spans="1:2" x14ac:dyDescent="0.3">
      <c r="A18" s="31" t="s">
        <v>173</v>
      </c>
      <c r="B18" s="31" t="s">
        <v>191</v>
      </c>
    </row>
    <row r="19" spans="1:2" x14ac:dyDescent="0.3">
      <c r="A19" s="31" t="s">
        <v>173</v>
      </c>
      <c r="B19" s="31" t="s">
        <v>192</v>
      </c>
    </row>
    <row r="20" spans="1:2" x14ac:dyDescent="0.3">
      <c r="A20" s="31" t="s">
        <v>176</v>
      </c>
      <c r="B20" s="31" t="s">
        <v>193</v>
      </c>
    </row>
    <row r="21" spans="1:2" x14ac:dyDescent="0.3">
      <c r="A21" s="31" t="s">
        <v>176</v>
      </c>
      <c r="B21" s="31" t="s">
        <v>194</v>
      </c>
    </row>
    <row r="22" spans="1:2" x14ac:dyDescent="0.3">
      <c r="A22" s="31" t="s">
        <v>176</v>
      </c>
      <c r="B22" s="31" t="s">
        <v>195</v>
      </c>
    </row>
    <row r="23" spans="1:2" x14ac:dyDescent="0.3">
      <c r="A23" s="31" t="s">
        <v>176</v>
      </c>
      <c r="B23" s="31" t="s">
        <v>196</v>
      </c>
    </row>
    <row r="24" spans="1:2" x14ac:dyDescent="0.3">
      <c r="A24" s="31" t="s">
        <v>173</v>
      </c>
      <c r="B24" s="31" t="s">
        <v>197</v>
      </c>
    </row>
    <row r="25" spans="1:2" x14ac:dyDescent="0.3">
      <c r="A25" s="31" t="s">
        <v>176</v>
      </c>
      <c r="B25" s="31" t="s">
        <v>198</v>
      </c>
    </row>
    <row r="26" spans="1:2" x14ac:dyDescent="0.3">
      <c r="A26" s="31" t="s">
        <v>173</v>
      </c>
      <c r="B26" s="31" t="s">
        <v>199</v>
      </c>
    </row>
    <row r="27" spans="1:2" x14ac:dyDescent="0.3">
      <c r="A27" s="31" t="s">
        <v>176</v>
      </c>
      <c r="B27" s="31" t="s">
        <v>200</v>
      </c>
    </row>
    <row r="28" spans="1:2" x14ac:dyDescent="0.3">
      <c r="A28" s="31" t="s">
        <v>176</v>
      </c>
      <c r="B28" s="31" t="s">
        <v>201</v>
      </c>
    </row>
    <row r="29" spans="1:2" x14ac:dyDescent="0.3">
      <c r="A29" s="31" t="s">
        <v>176</v>
      </c>
      <c r="B29" s="31" t="s">
        <v>202</v>
      </c>
    </row>
    <row r="30" spans="1:2" x14ac:dyDescent="0.3">
      <c r="A30" s="31" t="s">
        <v>173</v>
      </c>
      <c r="B30" s="31" t="s">
        <v>203</v>
      </c>
    </row>
    <row r="31" spans="1:2" x14ac:dyDescent="0.3">
      <c r="A31" s="31" t="s">
        <v>173</v>
      </c>
      <c r="B31" s="31" t="s">
        <v>204</v>
      </c>
    </row>
    <row r="32" spans="1:2" x14ac:dyDescent="0.3">
      <c r="A32" s="31" t="s">
        <v>176</v>
      </c>
      <c r="B32" s="31" t="s">
        <v>205</v>
      </c>
    </row>
    <row r="33" spans="1:2" x14ac:dyDescent="0.3">
      <c r="A33" s="31" t="s">
        <v>173</v>
      </c>
      <c r="B33" s="31"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3"/>
  <sheetViews>
    <sheetView showGridLines="0" workbookViewId="0">
      <selection activeCell="A2" sqref="A2"/>
    </sheetView>
  </sheetViews>
  <sheetFormatPr defaultRowHeight="14.4" x14ac:dyDescent="0.3"/>
  <cols>
    <col min="1" max="13" width="13.6640625" style="1" customWidth="1"/>
  </cols>
  <sheetData>
    <row r="1" spans="1:13" x14ac:dyDescent="0.3">
      <c r="A1" s="5" t="s">
        <v>136</v>
      </c>
      <c r="B1" s="3" t="s">
        <v>139</v>
      </c>
      <c r="C1" s="3" t="s">
        <v>143</v>
      </c>
      <c r="D1" s="3" t="s">
        <v>139</v>
      </c>
      <c r="E1" s="3" t="s">
        <v>148</v>
      </c>
      <c r="F1" s="3" t="s">
        <v>139</v>
      </c>
      <c r="G1" s="3" t="s">
        <v>148</v>
      </c>
      <c r="H1" s="3" t="s">
        <v>155</v>
      </c>
      <c r="I1" s="3" t="s">
        <v>158</v>
      </c>
      <c r="J1" s="3" t="s">
        <v>158</v>
      </c>
      <c r="K1" s="3" t="s">
        <v>163</v>
      </c>
      <c r="L1" s="3" t="s">
        <v>166</v>
      </c>
      <c r="M1" s="3" t="s">
        <v>143</v>
      </c>
    </row>
    <row r="2" spans="1:13" x14ac:dyDescent="0.3">
      <c r="A2" s="5" t="s">
        <v>137</v>
      </c>
      <c r="B2" s="3" t="s">
        <v>141</v>
      </c>
      <c r="C2" s="3" t="s">
        <v>145</v>
      </c>
      <c r="D2" s="3" t="s">
        <v>147</v>
      </c>
      <c r="E2" s="3" t="s">
        <v>150</v>
      </c>
      <c r="F2" s="3" t="s">
        <v>152</v>
      </c>
      <c r="G2" s="3" t="s">
        <v>154</v>
      </c>
      <c r="H2" s="3" t="s">
        <v>157</v>
      </c>
      <c r="I2" s="3" t="s">
        <v>160</v>
      </c>
      <c r="J2" s="3" t="s">
        <v>162</v>
      </c>
      <c r="K2" s="3" t="s">
        <v>165</v>
      </c>
      <c r="L2" s="3" t="s">
        <v>168</v>
      </c>
      <c r="M2" s="3" t="s">
        <v>169</v>
      </c>
    </row>
    <row r="3" spans="1:13" x14ac:dyDescent="0.3">
      <c r="A3" s="5" t="s">
        <v>228</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ANALYSIS</vt:lpstr>
      <vt:lpstr>REPORT</vt:lpstr>
      <vt:lpstr>SPORTSMEN</vt:lpstr>
      <vt:lpstr>SPORT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Abdul Rahim</cp:lastModifiedBy>
  <dcterms:created xsi:type="dcterms:W3CDTF">2019-05-28T07:07:38Z</dcterms:created>
  <dcterms:modified xsi:type="dcterms:W3CDTF">2025-09-06T09:24:55Z</dcterms:modified>
</cp:coreProperties>
</file>